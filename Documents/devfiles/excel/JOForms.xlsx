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Lab\joboffer\Documents\devfiles\"/>
    </mc:Choice>
  </mc:AlternateContent>
  <xr:revisionPtr revIDLastSave="0" documentId="13_ncr:1_{A171D632-76B1-4F19-ADBD-A27C8A9893FB}" xr6:coauthVersionLast="47" xr6:coauthVersionMax="47" xr10:uidLastSave="{00000000-0000-0000-0000-000000000000}"/>
  <bookViews>
    <workbookView xWindow="22932" yWindow="-108" windowWidth="23256" windowHeight="12456" activeTab="1" xr2:uid="{48F0CE97-0B19-4A7E-8143-71502D18544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8" i="1" l="1"/>
  <c r="F38" i="1"/>
  <c r="G38" i="1"/>
  <c r="H38" i="1"/>
  <c r="I38" i="1"/>
  <c r="J38" i="1"/>
  <c r="K38" i="1"/>
  <c r="L38" i="1"/>
  <c r="D38" i="1"/>
  <c r="C38" i="1"/>
  <c r="K37" i="1" l="1"/>
  <c r="H37" i="1"/>
  <c r="G37" i="1"/>
  <c r="L37" i="1"/>
  <c r="J37" i="1"/>
  <c r="I37" i="1"/>
  <c r="E37" i="1"/>
  <c r="F37" i="1"/>
</calcChain>
</file>

<file path=xl/sharedStrings.xml><?xml version="1.0" encoding="utf-8"?>
<sst xmlns="http://schemas.openxmlformats.org/spreadsheetml/2006/main" count="270" uniqueCount="100">
  <si>
    <t>BASIC INFORMATION ABOUT THE CANDIDATE</t>
  </si>
  <si>
    <t>Candidate's Name</t>
  </si>
  <si>
    <t>Salary Grade</t>
  </si>
  <si>
    <t xml:space="preserve">Position Title </t>
  </si>
  <si>
    <t>Division/Department</t>
  </si>
  <si>
    <t>input text</t>
  </si>
  <si>
    <t>drop down list</t>
  </si>
  <si>
    <t>Company</t>
  </si>
  <si>
    <t>Immediate Superior</t>
  </si>
  <si>
    <t>SUCCESS FACTORS INFO FOR ENCODING</t>
  </si>
  <si>
    <t>EMP STATUS</t>
  </si>
  <si>
    <t>WORK AREA</t>
  </si>
  <si>
    <t>SHIFT CODE</t>
  </si>
  <si>
    <t>WORK SCHEDULE</t>
  </si>
  <si>
    <t>JOB CLASS</t>
  </si>
  <si>
    <t>FREQUENCY</t>
  </si>
  <si>
    <t>MOTORIZED</t>
  </si>
  <si>
    <t>INCENTIVIZED</t>
  </si>
  <si>
    <t>TRANSPO ALLOWANCE</t>
  </si>
  <si>
    <t>ANNUAL BONUS</t>
  </si>
  <si>
    <t>SPECIAL ALLOWANCE</t>
  </si>
  <si>
    <t>checkbox</t>
  </si>
  <si>
    <t xml:space="preserve">SWIPING </t>
  </si>
  <si>
    <t>Components of Cash Compensation</t>
  </si>
  <si>
    <t>Monthly Basic Salary (MBS)</t>
  </si>
  <si>
    <t>13th Month Pay (1.00 x MBS)</t>
  </si>
  <si>
    <t>Other Guaranteed Bonus/es</t>
  </si>
  <si>
    <t>Allowances</t>
  </si>
  <si>
    <t>Monthly</t>
  </si>
  <si>
    <t>Annual</t>
  </si>
  <si>
    <t>Current</t>
  </si>
  <si>
    <t>Option 1</t>
  </si>
  <si>
    <t>Option 2</t>
  </si>
  <si>
    <t>Option 3</t>
  </si>
  <si>
    <t>Option 4</t>
  </si>
  <si>
    <t>Profit Share</t>
  </si>
  <si>
    <t>Incentives/Commmission</t>
  </si>
  <si>
    <t>Performance-Based Bonuses</t>
  </si>
  <si>
    <t>GROSS COMPENSATION</t>
  </si>
  <si>
    <t>% DIFFERENCE  IN PAY</t>
  </si>
  <si>
    <t>SUCCESS FACTORS INFO FOR ENCODING Templates</t>
  </si>
  <si>
    <t>Office Based Position</t>
  </si>
  <si>
    <t>Emp Status</t>
  </si>
  <si>
    <t>Probationary</t>
  </si>
  <si>
    <t>Work Area</t>
  </si>
  <si>
    <t>Office</t>
  </si>
  <si>
    <t>Shift Code</t>
  </si>
  <si>
    <t>O11 - 7:30 – 17:30</t>
  </si>
  <si>
    <t>Work Schedule</t>
  </si>
  <si>
    <t>Compressed</t>
  </si>
  <si>
    <t>Swiping Status</t>
  </si>
  <si>
    <t>Swiping</t>
  </si>
  <si>
    <t>Job Class</t>
  </si>
  <si>
    <t>Rank &amp; File</t>
  </si>
  <si>
    <t>MRI</t>
  </si>
  <si>
    <t>Year</t>
  </si>
  <si>
    <t>Transpo Allowance</t>
  </si>
  <si>
    <t>Yes</t>
  </si>
  <si>
    <t>Frequency</t>
  </si>
  <si>
    <t>Monthly15</t>
  </si>
  <si>
    <t>Motorized</t>
  </si>
  <si>
    <t>No</t>
  </si>
  <si>
    <t>Incentivized</t>
  </si>
  <si>
    <t>Annual Bonus</t>
  </si>
  <si>
    <t>Special Allowance</t>
  </si>
  <si>
    <t>Territory Rep, GMA</t>
  </si>
  <si>
    <t>Field GMA</t>
  </si>
  <si>
    <t>NPO</t>
  </si>
  <si>
    <t>Non-Swiping</t>
  </si>
  <si>
    <t>N/A</t>
  </si>
  <si>
    <t xml:space="preserve">No </t>
  </si>
  <si>
    <t>Project Employee - Office</t>
  </si>
  <si>
    <t>Temp Project Hire</t>
  </si>
  <si>
    <t>O11</t>
  </si>
  <si>
    <t xml:space="preserve">NonRegular </t>
  </si>
  <si>
    <t>Monthly13</t>
  </si>
  <si>
    <t>OFFICE BASED NO CAR</t>
  </si>
  <si>
    <t>OFFICE WITH CAR</t>
  </si>
  <si>
    <t>FIELD COMMERCIAL</t>
  </si>
  <si>
    <t>OFFICE COMMERCIAL</t>
  </si>
  <si>
    <t>YES</t>
  </si>
  <si>
    <t>Basic Pay</t>
  </si>
  <si>
    <t>13th Month Pay</t>
  </si>
  <si>
    <t>Bayanihan Bonus</t>
  </si>
  <si>
    <t>NO</t>
  </si>
  <si>
    <t>Rice Allowance</t>
  </si>
  <si>
    <t>TOT Vehicle</t>
  </si>
  <si>
    <t>Transportation Allowance</t>
  </si>
  <si>
    <t>Performance Bonus</t>
  </si>
  <si>
    <t>Sales Incentives</t>
  </si>
  <si>
    <t>Hazard Pay</t>
  </si>
  <si>
    <t>Pharmacist Allowance</t>
  </si>
  <si>
    <t>Components of Cash Compensation Templates</t>
  </si>
  <si>
    <t>Component</t>
  </si>
  <si>
    <t>Remarks</t>
  </si>
  <si>
    <t>Non Tax Allowance, Transpo Allowance and Other Allowance</t>
  </si>
  <si>
    <t>14th and 15th month</t>
  </si>
  <si>
    <t>Amount</t>
  </si>
  <si>
    <t>% Increase</t>
  </si>
  <si>
    <t>[____]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</si>
</sst>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1" xfId="0" applyBorder="1"/>
    <xf numFmtId="0" fontId="2" fillId="0" borderId="1" xfId="0" applyFont="1" applyBorder="1"/>
    <xf numFmtId="9" fontId="0" fillId="0" borderId="1" xfId="1" applyFont="1" applyBorder="1"/>
    <xf numFmtId="0" fontId="2" fillId="0" borderId="0" xfId="0" applyFont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2" fillId="0" borderId="2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3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EF922-98D7-4C97-88CC-B7508F12B16F}">
  <dimension ref="B2:M96"/>
  <sheetViews>
    <sheetView topLeftCell="A20" workbookViewId="0">
      <selection activeCell="B28" sqref="B28:F38"/>
    </sheetView>
  </sheetViews>
  <sheetFormatPr defaultRowHeight="14.5" x14ac:dyDescent="0.35"/>
  <cols>
    <col min="2" max="2" width="39.26953125" bestFit="1" customWidth="1"/>
    <col min="3" max="3" width="21.54296875" bestFit="1" customWidth="1"/>
    <col min="4" max="4" width="15.453125" bestFit="1" customWidth="1"/>
    <col min="5" max="5" width="21.54296875" bestFit="1" customWidth="1"/>
    <col min="6" max="6" width="17.36328125" bestFit="1" customWidth="1"/>
    <col min="7" max="7" width="21.54296875" bestFit="1" customWidth="1"/>
    <col min="8" max="8" width="18.81640625" bestFit="1" customWidth="1"/>
    <col min="9" max="9" width="21.54296875" bestFit="1" customWidth="1"/>
    <col min="10" max="10" width="25" bestFit="1" customWidth="1"/>
    <col min="11" max="11" width="21.54296875" bestFit="1" customWidth="1"/>
    <col min="12" max="12" width="24.90625" bestFit="1" customWidth="1"/>
    <col min="13" max="13" width="21.54296875" bestFit="1" customWidth="1"/>
    <col min="14" max="14" width="35.90625" bestFit="1" customWidth="1"/>
    <col min="15" max="15" width="21.54296875" bestFit="1" customWidth="1"/>
    <col min="16" max="16" width="20.81640625" bestFit="1" customWidth="1"/>
    <col min="17" max="17" width="21.54296875" bestFit="1" customWidth="1"/>
    <col min="18" max="18" width="27.453125" bestFit="1" customWidth="1"/>
    <col min="19" max="19" width="21.54296875" bestFit="1" customWidth="1"/>
    <col min="20" max="20" width="13.6328125" bestFit="1" customWidth="1"/>
    <col min="21" max="21" width="21.54296875" bestFit="1" customWidth="1"/>
  </cols>
  <sheetData>
    <row r="2" spans="2:13" x14ac:dyDescent="0.35">
      <c r="B2" s="9" t="s">
        <v>0</v>
      </c>
      <c r="C2" s="11"/>
    </row>
    <row r="3" spans="2:13" x14ac:dyDescent="0.35">
      <c r="B3" s="1" t="s">
        <v>1</v>
      </c>
      <c r="C3" s="1" t="s">
        <v>5</v>
      </c>
    </row>
    <row r="4" spans="2:13" x14ac:dyDescent="0.35">
      <c r="B4" s="1" t="s">
        <v>3</v>
      </c>
      <c r="C4" s="1" t="s">
        <v>6</v>
      </c>
    </row>
    <row r="5" spans="2:13" x14ac:dyDescent="0.35">
      <c r="B5" s="1" t="s">
        <v>7</v>
      </c>
      <c r="C5" s="1" t="s">
        <v>6</v>
      </c>
    </row>
    <row r="6" spans="2:13" x14ac:dyDescent="0.35">
      <c r="B6" s="1" t="s">
        <v>4</v>
      </c>
      <c r="C6" s="1" t="s">
        <v>6</v>
      </c>
    </row>
    <row r="7" spans="2:13" x14ac:dyDescent="0.35">
      <c r="B7" s="1" t="s">
        <v>2</v>
      </c>
      <c r="C7" s="1" t="s">
        <v>6</v>
      </c>
    </row>
    <row r="8" spans="2:13" x14ac:dyDescent="0.35">
      <c r="B8" s="1" t="s">
        <v>8</v>
      </c>
      <c r="C8" s="1" t="s">
        <v>5</v>
      </c>
    </row>
    <row r="11" spans="2:13" x14ac:dyDescent="0.35">
      <c r="B11" s="9" t="s">
        <v>9</v>
      </c>
      <c r="C11" s="11"/>
      <c r="F11" s="4" t="s">
        <v>40</v>
      </c>
    </row>
    <row r="12" spans="2:13" x14ac:dyDescent="0.35">
      <c r="B12" s="1" t="s">
        <v>10</v>
      </c>
      <c r="C12" s="1" t="s">
        <v>6</v>
      </c>
      <c r="F12" s="9" t="s">
        <v>41</v>
      </c>
      <c r="G12" s="11"/>
      <c r="I12" s="9" t="s">
        <v>65</v>
      </c>
      <c r="J12" s="11"/>
      <c r="L12" s="9" t="s">
        <v>71</v>
      </c>
      <c r="M12" s="11"/>
    </row>
    <row r="13" spans="2:13" x14ac:dyDescent="0.35">
      <c r="B13" s="1" t="s">
        <v>11</v>
      </c>
      <c r="C13" s="1" t="s">
        <v>6</v>
      </c>
      <c r="F13" s="1" t="s">
        <v>42</v>
      </c>
      <c r="G13" s="1" t="s">
        <v>43</v>
      </c>
      <c r="I13" s="1" t="s">
        <v>42</v>
      </c>
      <c r="J13" s="1" t="s">
        <v>43</v>
      </c>
      <c r="L13" s="1" t="s">
        <v>42</v>
      </c>
      <c r="M13" s="1" t="s">
        <v>72</v>
      </c>
    </row>
    <row r="14" spans="2:13" x14ac:dyDescent="0.35">
      <c r="B14" s="1" t="s">
        <v>12</v>
      </c>
      <c r="C14" s="1" t="s">
        <v>6</v>
      </c>
      <c r="F14" s="1" t="s">
        <v>44</v>
      </c>
      <c r="G14" s="1" t="s">
        <v>45</v>
      </c>
      <c r="I14" s="1" t="s">
        <v>44</v>
      </c>
      <c r="J14" s="1" t="s">
        <v>66</v>
      </c>
      <c r="L14" s="1" t="s">
        <v>44</v>
      </c>
      <c r="M14" s="1" t="s">
        <v>45</v>
      </c>
    </row>
    <row r="15" spans="2:13" x14ac:dyDescent="0.35">
      <c r="B15" s="1" t="s">
        <v>13</v>
      </c>
      <c r="C15" s="1" t="s">
        <v>6</v>
      </c>
      <c r="F15" s="1" t="s">
        <v>46</v>
      </c>
      <c r="G15" s="1" t="s">
        <v>47</v>
      </c>
      <c r="I15" s="1" t="s">
        <v>46</v>
      </c>
      <c r="J15" s="1" t="s">
        <v>67</v>
      </c>
      <c r="L15" s="1" t="s">
        <v>46</v>
      </c>
      <c r="M15" s="1" t="s">
        <v>73</v>
      </c>
    </row>
    <row r="16" spans="2:13" x14ac:dyDescent="0.35">
      <c r="B16" s="1" t="s">
        <v>14</v>
      </c>
      <c r="C16" s="1" t="s">
        <v>6</v>
      </c>
      <c r="F16" s="1" t="s">
        <v>48</v>
      </c>
      <c r="G16" s="1" t="s">
        <v>49</v>
      </c>
      <c r="I16" s="1" t="s">
        <v>48</v>
      </c>
      <c r="J16" s="1" t="s">
        <v>49</v>
      </c>
      <c r="L16" s="1" t="s">
        <v>48</v>
      </c>
      <c r="M16" s="1" t="s">
        <v>49</v>
      </c>
    </row>
    <row r="17" spans="2:13" x14ac:dyDescent="0.35">
      <c r="B17" s="1" t="s">
        <v>15</v>
      </c>
      <c r="C17" s="1" t="s">
        <v>6</v>
      </c>
      <c r="F17" s="1" t="s">
        <v>50</v>
      </c>
      <c r="G17" s="1" t="s">
        <v>51</v>
      </c>
      <c r="I17" s="1" t="s">
        <v>50</v>
      </c>
      <c r="J17" s="1" t="s">
        <v>68</v>
      </c>
      <c r="L17" s="1" t="s">
        <v>50</v>
      </c>
      <c r="M17" s="1" t="s">
        <v>51</v>
      </c>
    </row>
    <row r="18" spans="2:13" x14ac:dyDescent="0.35">
      <c r="B18" s="1" t="s">
        <v>22</v>
      </c>
      <c r="C18" s="1" t="s">
        <v>21</v>
      </c>
      <c r="F18" s="1" t="s">
        <v>52</v>
      </c>
      <c r="G18" s="1" t="s">
        <v>53</v>
      </c>
      <c r="I18" s="1" t="s">
        <v>52</v>
      </c>
      <c r="J18" s="1" t="s">
        <v>53</v>
      </c>
      <c r="L18" s="1" t="s">
        <v>52</v>
      </c>
      <c r="M18" s="1" t="s">
        <v>74</v>
      </c>
    </row>
    <row r="19" spans="2:13" x14ac:dyDescent="0.35">
      <c r="B19" s="1" t="s">
        <v>16</v>
      </c>
      <c r="C19" s="1" t="s">
        <v>21</v>
      </c>
      <c r="F19" s="1" t="s">
        <v>54</v>
      </c>
      <c r="G19" s="1" t="s">
        <v>55</v>
      </c>
      <c r="I19" s="1" t="s">
        <v>54</v>
      </c>
      <c r="J19" s="1" t="s">
        <v>55</v>
      </c>
      <c r="L19" s="1" t="s">
        <v>54</v>
      </c>
      <c r="M19" s="1" t="s">
        <v>55</v>
      </c>
    </row>
    <row r="20" spans="2:13" x14ac:dyDescent="0.35">
      <c r="B20" s="1" t="s">
        <v>17</v>
      </c>
      <c r="C20" s="1" t="s">
        <v>21</v>
      </c>
      <c r="F20" s="1" t="s">
        <v>56</v>
      </c>
      <c r="G20" s="1" t="s">
        <v>57</v>
      </c>
      <c r="I20" s="1" t="s">
        <v>56</v>
      </c>
      <c r="J20" s="1" t="s">
        <v>69</v>
      </c>
      <c r="L20" s="1" t="s">
        <v>56</v>
      </c>
      <c r="M20" s="1" t="s">
        <v>69</v>
      </c>
    </row>
    <row r="21" spans="2:13" x14ac:dyDescent="0.35">
      <c r="B21" s="1" t="s">
        <v>18</v>
      </c>
      <c r="C21" s="1" t="s">
        <v>21</v>
      </c>
      <c r="F21" s="1" t="s">
        <v>58</v>
      </c>
      <c r="G21" s="1" t="s">
        <v>59</v>
      </c>
      <c r="I21" s="1" t="s">
        <v>58</v>
      </c>
      <c r="J21" s="1" t="s">
        <v>59</v>
      </c>
      <c r="L21" s="1" t="s">
        <v>58</v>
      </c>
      <c r="M21" s="1" t="s">
        <v>75</v>
      </c>
    </row>
    <row r="22" spans="2:13" x14ac:dyDescent="0.35">
      <c r="B22" s="1" t="s">
        <v>19</v>
      </c>
      <c r="C22" s="1" t="s">
        <v>21</v>
      </c>
      <c r="F22" s="1" t="s">
        <v>60</v>
      </c>
      <c r="G22" s="1" t="s">
        <v>61</v>
      </c>
      <c r="I22" s="1" t="s">
        <v>60</v>
      </c>
      <c r="J22" s="1" t="s">
        <v>57</v>
      </c>
      <c r="L22" s="1" t="s">
        <v>60</v>
      </c>
      <c r="M22" s="1" t="s">
        <v>61</v>
      </c>
    </row>
    <row r="23" spans="2:13" x14ac:dyDescent="0.35">
      <c r="B23" s="1" t="s">
        <v>20</v>
      </c>
      <c r="C23" s="1" t="s">
        <v>21</v>
      </c>
      <c r="F23" s="1" t="s">
        <v>62</v>
      </c>
      <c r="G23" s="1" t="s">
        <v>61</v>
      </c>
      <c r="I23" s="1" t="s">
        <v>62</v>
      </c>
      <c r="J23" s="1" t="s">
        <v>57</v>
      </c>
      <c r="L23" s="1" t="s">
        <v>62</v>
      </c>
      <c r="M23" s="1" t="s">
        <v>61</v>
      </c>
    </row>
    <row r="24" spans="2:13" x14ac:dyDescent="0.35">
      <c r="F24" s="1" t="s">
        <v>63</v>
      </c>
      <c r="G24" s="1" t="s">
        <v>61</v>
      </c>
      <c r="I24" s="1" t="s">
        <v>63</v>
      </c>
      <c r="J24" s="1" t="s">
        <v>70</v>
      </c>
      <c r="L24" s="1" t="s">
        <v>63</v>
      </c>
      <c r="M24" s="1" t="s">
        <v>70</v>
      </c>
    </row>
    <row r="25" spans="2:13" x14ac:dyDescent="0.35">
      <c r="F25" s="1" t="s">
        <v>64</v>
      </c>
      <c r="G25" s="1" t="s">
        <v>61</v>
      </c>
      <c r="I25" s="1" t="s">
        <v>64</v>
      </c>
      <c r="J25" s="1" t="s">
        <v>61</v>
      </c>
      <c r="L25" s="1" t="s">
        <v>64</v>
      </c>
      <c r="M25" s="1" t="s">
        <v>61</v>
      </c>
    </row>
    <row r="28" spans="2:13" x14ac:dyDescent="0.35">
      <c r="B28" s="2" t="s">
        <v>23</v>
      </c>
      <c r="C28" s="9" t="s">
        <v>30</v>
      </c>
      <c r="D28" s="11"/>
      <c r="E28" s="9" t="s">
        <v>31</v>
      </c>
      <c r="F28" s="11"/>
      <c r="G28" s="9" t="s">
        <v>32</v>
      </c>
      <c r="H28" s="11"/>
      <c r="I28" s="9" t="s">
        <v>33</v>
      </c>
      <c r="J28" s="11"/>
      <c r="K28" s="9" t="s">
        <v>34</v>
      </c>
      <c r="L28" s="11"/>
    </row>
    <row r="29" spans="2:13" x14ac:dyDescent="0.35">
      <c r="B29" s="1"/>
      <c r="C29" s="1" t="s">
        <v>28</v>
      </c>
      <c r="D29" s="1" t="s">
        <v>29</v>
      </c>
      <c r="E29" s="1" t="s">
        <v>28</v>
      </c>
      <c r="F29" s="1" t="s">
        <v>29</v>
      </c>
      <c r="G29" s="1" t="s">
        <v>28</v>
      </c>
      <c r="H29" s="1" t="s">
        <v>29</v>
      </c>
      <c r="I29" s="1" t="s">
        <v>28</v>
      </c>
      <c r="J29" s="1" t="s">
        <v>29</v>
      </c>
      <c r="K29" s="1" t="s">
        <v>28</v>
      </c>
      <c r="L29" s="1" t="s">
        <v>29</v>
      </c>
    </row>
    <row r="30" spans="2:13" x14ac:dyDescent="0.35">
      <c r="B30" s="1" t="s">
        <v>24</v>
      </c>
      <c r="C30" s="1">
        <v>40000</v>
      </c>
      <c r="D30" s="1">
        <v>480000</v>
      </c>
      <c r="E30" s="1">
        <v>55000</v>
      </c>
      <c r="F30" s="1">
        <v>660000</v>
      </c>
      <c r="G30" s="1">
        <v>65000</v>
      </c>
      <c r="H30" s="1">
        <v>780000</v>
      </c>
      <c r="I30" s="1">
        <v>77000</v>
      </c>
      <c r="J30" s="1">
        <v>924000</v>
      </c>
      <c r="K30" s="1">
        <v>77000</v>
      </c>
      <c r="L30" s="1">
        <v>924000</v>
      </c>
    </row>
    <row r="31" spans="2:13" x14ac:dyDescent="0.35">
      <c r="B31" s="1" t="s">
        <v>25</v>
      </c>
      <c r="C31" s="1"/>
      <c r="D31" s="1">
        <v>40000</v>
      </c>
      <c r="E31" s="1"/>
      <c r="F31" s="1">
        <v>55000</v>
      </c>
      <c r="G31" s="1"/>
      <c r="H31" s="1">
        <v>65000</v>
      </c>
      <c r="I31" s="1">
        <v>0</v>
      </c>
      <c r="J31" s="1">
        <v>77000</v>
      </c>
      <c r="K31" s="1">
        <v>0</v>
      </c>
      <c r="L31" s="1">
        <v>77000</v>
      </c>
    </row>
    <row r="32" spans="2:13" x14ac:dyDescent="0.35">
      <c r="B32" s="1" t="s">
        <v>26</v>
      </c>
      <c r="C32" s="1"/>
      <c r="D32" s="1"/>
      <c r="E32" s="1"/>
      <c r="F32" s="1">
        <v>110000</v>
      </c>
      <c r="G32" s="1"/>
      <c r="H32" s="1">
        <v>130000</v>
      </c>
      <c r="I32" s="1">
        <v>0</v>
      </c>
      <c r="J32" s="1">
        <v>154000</v>
      </c>
      <c r="K32" s="1">
        <v>0</v>
      </c>
      <c r="L32" s="1">
        <v>154000</v>
      </c>
    </row>
    <row r="33" spans="2:12" x14ac:dyDescent="0.35">
      <c r="B33" s="1" t="s">
        <v>27</v>
      </c>
      <c r="C33" s="1"/>
      <c r="D33" s="1">
        <v>25000</v>
      </c>
      <c r="E33" s="1">
        <v>4062.5</v>
      </c>
      <c r="F33" s="1">
        <v>48750</v>
      </c>
      <c r="G33" s="1">
        <v>4062.5</v>
      </c>
      <c r="H33" s="1">
        <v>48750</v>
      </c>
      <c r="I33" s="1">
        <v>4062.5</v>
      </c>
      <c r="J33" s="1">
        <v>48750</v>
      </c>
      <c r="K33" s="1">
        <v>4062.5</v>
      </c>
      <c r="L33" s="1">
        <v>48750</v>
      </c>
    </row>
    <row r="34" spans="2:12" x14ac:dyDescent="0.35">
      <c r="B34" s="1" t="s">
        <v>35</v>
      </c>
      <c r="C34" s="1"/>
      <c r="D34" s="1">
        <v>60000</v>
      </c>
      <c r="E34" s="1"/>
      <c r="F34" s="1"/>
      <c r="G34" s="1">
        <v>55000</v>
      </c>
      <c r="H34" s="1"/>
      <c r="I34" s="1">
        <v>65000</v>
      </c>
      <c r="J34" s="1"/>
      <c r="K34" s="1">
        <v>77000</v>
      </c>
      <c r="L34" s="1"/>
    </row>
    <row r="35" spans="2:12" x14ac:dyDescent="0.35">
      <c r="B35" s="1" t="s">
        <v>36</v>
      </c>
      <c r="C35" s="1"/>
      <c r="D35" s="1">
        <v>80000</v>
      </c>
      <c r="E35" s="1"/>
      <c r="F35" s="1"/>
      <c r="G35" s="1"/>
      <c r="H35" s="1"/>
      <c r="I35" s="1"/>
      <c r="J35" s="1"/>
      <c r="K35" s="1"/>
      <c r="L35" s="1"/>
    </row>
    <row r="36" spans="2:12" x14ac:dyDescent="0.35">
      <c r="B36" s="1" t="s">
        <v>37</v>
      </c>
      <c r="C36" s="1"/>
      <c r="D36" s="1">
        <v>20000</v>
      </c>
      <c r="E36" s="1"/>
      <c r="F36" s="1"/>
      <c r="G36" s="1"/>
      <c r="H36" s="1"/>
      <c r="I36" s="1"/>
      <c r="J36" s="1"/>
      <c r="K36" s="1"/>
      <c r="L36" s="1"/>
    </row>
    <row r="37" spans="2:12" x14ac:dyDescent="0.35">
      <c r="B37" s="1" t="s">
        <v>39</v>
      </c>
      <c r="C37" s="1"/>
      <c r="D37" s="3"/>
      <c r="E37" s="3">
        <f>(E38-C38)/C38</f>
        <v>0.4765625</v>
      </c>
      <c r="F37" s="3">
        <f>(F38-D38)/D38</f>
        <v>0.23936170212765959</v>
      </c>
      <c r="G37" s="3">
        <f>(G38-C38)/C38</f>
        <v>2.1015625</v>
      </c>
      <c r="H37" s="3">
        <f>(H38-D38)/D38</f>
        <v>0.4521276595744681</v>
      </c>
      <c r="I37" s="3">
        <f>(I38-C38)/C38</f>
        <v>2.6515624999999998</v>
      </c>
      <c r="J37" s="3">
        <f>(J38-D38)/D38</f>
        <v>0.70744680851063835</v>
      </c>
      <c r="K37" s="3">
        <f>(K38-C38)/C38</f>
        <v>2.9515625000000001</v>
      </c>
      <c r="L37" s="3">
        <f>(L38-D38)/D38</f>
        <v>0.70744680851063835</v>
      </c>
    </row>
    <row r="38" spans="2:12" x14ac:dyDescent="0.35">
      <c r="B38" s="2" t="s">
        <v>38</v>
      </c>
      <c r="C38" s="2">
        <f>SUM(C30:C37)</f>
        <v>40000</v>
      </c>
      <c r="D38" s="2">
        <f>SUM(D30:D36)</f>
        <v>705000</v>
      </c>
      <c r="E38" s="2">
        <f t="shared" ref="E38:L38" si="0">SUM(E30:E36)</f>
        <v>59062.5</v>
      </c>
      <c r="F38" s="2">
        <f t="shared" si="0"/>
        <v>873750</v>
      </c>
      <c r="G38" s="2">
        <f t="shared" si="0"/>
        <v>124062.5</v>
      </c>
      <c r="H38" s="2">
        <f t="shared" si="0"/>
        <v>1023750</v>
      </c>
      <c r="I38" s="2">
        <f t="shared" si="0"/>
        <v>146062.5</v>
      </c>
      <c r="J38" s="2">
        <f t="shared" si="0"/>
        <v>1203750</v>
      </c>
      <c r="K38" s="2">
        <f t="shared" si="0"/>
        <v>158062.5</v>
      </c>
      <c r="L38" s="2">
        <f t="shared" si="0"/>
        <v>1203750</v>
      </c>
    </row>
    <row r="41" spans="2:12" x14ac:dyDescent="0.35">
      <c r="B41" s="4" t="s">
        <v>92</v>
      </c>
    </row>
    <row r="42" spans="2:12" x14ac:dyDescent="0.35">
      <c r="B42" s="9" t="s">
        <v>76</v>
      </c>
      <c r="C42" s="11"/>
    </row>
    <row r="43" spans="2:12" x14ac:dyDescent="0.35">
      <c r="B43" s="5" t="s">
        <v>80</v>
      </c>
      <c r="C43" s="6" t="s">
        <v>81</v>
      </c>
    </row>
    <row r="44" spans="2:12" x14ac:dyDescent="0.35">
      <c r="B44" s="5" t="s">
        <v>80</v>
      </c>
      <c r="C44" s="6" t="s">
        <v>82</v>
      </c>
    </row>
    <row r="45" spans="2:12" x14ac:dyDescent="0.35">
      <c r="B45" s="5" t="s">
        <v>80</v>
      </c>
      <c r="C45" s="6" t="s">
        <v>83</v>
      </c>
    </row>
    <row r="46" spans="2:12" x14ac:dyDescent="0.35">
      <c r="B46" s="5" t="s">
        <v>80</v>
      </c>
      <c r="C46" s="6" t="s">
        <v>54</v>
      </c>
    </row>
    <row r="47" spans="2:12" x14ac:dyDescent="0.35">
      <c r="B47" s="5" t="s">
        <v>80</v>
      </c>
      <c r="C47" s="6" t="s">
        <v>35</v>
      </c>
    </row>
    <row r="48" spans="2:12" x14ac:dyDescent="0.35">
      <c r="B48" s="5" t="s">
        <v>80</v>
      </c>
      <c r="C48" s="6" t="s">
        <v>85</v>
      </c>
    </row>
    <row r="49" spans="2:3" x14ac:dyDescent="0.35">
      <c r="B49" s="5" t="s">
        <v>84</v>
      </c>
      <c r="C49" s="6" t="s">
        <v>86</v>
      </c>
    </row>
    <row r="50" spans="2:3" x14ac:dyDescent="0.35">
      <c r="B50" s="5" t="s">
        <v>80</v>
      </c>
      <c r="C50" s="6" t="s">
        <v>87</v>
      </c>
    </row>
    <row r="51" spans="2:3" x14ac:dyDescent="0.35">
      <c r="B51" s="5" t="s">
        <v>84</v>
      </c>
      <c r="C51" s="6" t="s">
        <v>88</v>
      </c>
    </row>
    <row r="52" spans="2:3" x14ac:dyDescent="0.35">
      <c r="B52" s="5" t="s">
        <v>84</v>
      </c>
      <c r="C52" s="6" t="s">
        <v>89</v>
      </c>
    </row>
    <row r="53" spans="2:3" x14ac:dyDescent="0.35">
      <c r="B53" s="5" t="s">
        <v>84</v>
      </c>
      <c r="C53" s="6" t="s">
        <v>90</v>
      </c>
    </row>
    <row r="54" spans="2:3" x14ac:dyDescent="0.35">
      <c r="B54" s="7" t="s">
        <v>84</v>
      </c>
      <c r="C54" s="8" t="s">
        <v>91</v>
      </c>
    </row>
    <row r="56" spans="2:3" x14ac:dyDescent="0.35">
      <c r="B56" s="9" t="s">
        <v>77</v>
      </c>
      <c r="C56" s="11"/>
    </row>
    <row r="57" spans="2:3" x14ac:dyDescent="0.35">
      <c r="B57" s="5" t="s">
        <v>80</v>
      </c>
      <c r="C57" s="6" t="s">
        <v>81</v>
      </c>
    </row>
    <row r="58" spans="2:3" x14ac:dyDescent="0.35">
      <c r="B58" s="5" t="s">
        <v>80</v>
      </c>
      <c r="C58" s="6" t="s">
        <v>82</v>
      </c>
    </row>
    <row r="59" spans="2:3" x14ac:dyDescent="0.35">
      <c r="B59" s="5" t="s">
        <v>80</v>
      </c>
      <c r="C59" s="6" t="s">
        <v>83</v>
      </c>
    </row>
    <row r="60" spans="2:3" x14ac:dyDescent="0.35">
      <c r="B60" s="5" t="s">
        <v>80</v>
      </c>
      <c r="C60" s="6" t="s">
        <v>54</v>
      </c>
    </row>
    <row r="61" spans="2:3" x14ac:dyDescent="0.35">
      <c r="B61" s="5" t="s">
        <v>80</v>
      </c>
      <c r="C61" s="6" t="s">
        <v>35</v>
      </c>
    </row>
    <row r="62" spans="2:3" x14ac:dyDescent="0.35">
      <c r="B62" s="5" t="s">
        <v>80</v>
      </c>
      <c r="C62" s="6" t="s">
        <v>85</v>
      </c>
    </row>
    <row r="63" spans="2:3" x14ac:dyDescent="0.35">
      <c r="B63" s="5" t="s">
        <v>80</v>
      </c>
      <c r="C63" s="6" t="s">
        <v>86</v>
      </c>
    </row>
    <row r="64" spans="2:3" x14ac:dyDescent="0.35">
      <c r="B64" s="5" t="s">
        <v>84</v>
      </c>
      <c r="C64" s="6" t="s">
        <v>87</v>
      </c>
    </row>
    <row r="65" spans="2:3" x14ac:dyDescent="0.35">
      <c r="B65" s="5" t="s">
        <v>84</v>
      </c>
      <c r="C65" s="6" t="s">
        <v>88</v>
      </c>
    </row>
    <row r="66" spans="2:3" x14ac:dyDescent="0.35">
      <c r="B66" s="5" t="s">
        <v>84</v>
      </c>
      <c r="C66" s="6" t="s">
        <v>89</v>
      </c>
    </row>
    <row r="67" spans="2:3" x14ac:dyDescent="0.35">
      <c r="B67" s="5" t="s">
        <v>84</v>
      </c>
      <c r="C67" s="6" t="s">
        <v>90</v>
      </c>
    </row>
    <row r="68" spans="2:3" x14ac:dyDescent="0.35">
      <c r="B68" s="7" t="s">
        <v>84</v>
      </c>
      <c r="C68" s="8" t="s">
        <v>91</v>
      </c>
    </row>
    <row r="70" spans="2:3" x14ac:dyDescent="0.35">
      <c r="B70" s="9" t="s">
        <v>78</v>
      </c>
      <c r="C70" s="11"/>
    </row>
    <row r="71" spans="2:3" x14ac:dyDescent="0.35">
      <c r="B71" s="5" t="s">
        <v>80</v>
      </c>
      <c r="C71" s="6" t="s">
        <v>81</v>
      </c>
    </row>
    <row r="72" spans="2:3" x14ac:dyDescent="0.35">
      <c r="B72" s="5" t="s">
        <v>80</v>
      </c>
      <c r="C72" s="6" t="s">
        <v>82</v>
      </c>
    </row>
    <row r="73" spans="2:3" x14ac:dyDescent="0.35">
      <c r="B73" s="5" t="s">
        <v>80</v>
      </c>
      <c r="C73" s="6" t="s">
        <v>83</v>
      </c>
    </row>
    <row r="74" spans="2:3" x14ac:dyDescent="0.35">
      <c r="B74" s="5" t="s">
        <v>80</v>
      </c>
      <c r="C74" s="6" t="s">
        <v>54</v>
      </c>
    </row>
    <row r="75" spans="2:3" x14ac:dyDescent="0.35">
      <c r="B75" s="5" t="s">
        <v>80</v>
      </c>
      <c r="C75" s="6" t="s">
        <v>35</v>
      </c>
    </row>
    <row r="76" spans="2:3" x14ac:dyDescent="0.35">
      <c r="B76" s="5" t="s">
        <v>80</v>
      </c>
      <c r="C76" s="6" t="s">
        <v>85</v>
      </c>
    </row>
    <row r="77" spans="2:3" x14ac:dyDescent="0.35">
      <c r="B77" s="5" t="s">
        <v>80</v>
      </c>
      <c r="C77" s="6" t="s">
        <v>86</v>
      </c>
    </row>
    <row r="78" spans="2:3" x14ac:dyDescent="0.35">
      <c r="B78" s="5" t="s">
        <v>84</v>
      </c>
      <c r="C78" s="6" t="s">
        <v>87</v>
      </c>
    </row>
    <row r="79" spans="2:3" x14ac:dyDescent="0.35">
      <c r="B79" s="5" t="s">
        <v>84</v>
      </c>
      <c r="C79" s="6" t="s">
        <v>88</v>
      </c>
    </row>
    <row r="80" spans="2:3" x14ac:dyDescent="0.35">
      <c r="B80" s="5" t="s">
        <v>80</v>
      </c>
      <c r="C80" s="6" t="s">
        <v>89</v>
      </c>
    </row>
    <row r="81" spans="2:3" x14ac:dyDescent="0.35">
      <c r="B81" s="5" t="s">
        <v>84</v>
      </c>
      <c r="C81" s="6" t="s">
        <v>90</v>
      </c>
    </row>
    <row r="82" spans="2:3" x14ac:dyDescent="0.35">
      <c r="B82" s="7" t="s">
        <v>84</v>
      </c>
      <c r="C82" s="8" t="s">
        <v>91</v>
      </c>
    </row>
    <row r="84" spans="2:3" x14ac:dyDescent="0.35">
      <c r="B84" s="9" t="s">
        <v>79</v>
      </c>
      <c r="C84" s="11"/>
    </row>
    <row r="85" spans="2:3" x14ac:dyDescent="0.35">
      <c r="B85" s="5" t="s">
        <v>80</v>
      </c>
      <c r="C85" s="6" t="s">
        <v>81</v>
      </c>
    </row>
    <row r="86" spans="2:3" x14ac:dyDescent="0.35">
      <c r="B86" s="5" t="s">
        <v>80</v>
      </c>
      <c r="C86" s="6" t="s">
        <v>82</v>
      </c>
    </row>
    <row r="87" spans="2:3" x14ac:dyDescent="0.35">
      <c r="B87" s="5" t="s">
        <v>80</v>
      </c>
      <c r="C87" s="6" t="s">
        <v>83</v>
      </c>
    </row>
    <row r="88" spans="2:3" x14ac:dyDescent="0.35">
      <c r="B88" s="5" t="s">
        <v>80</v>
      </c>
      <c r="C88" s="6" t="s">
        <v>54</v>
      </c>
    </row>
    <row r="89" spans="2:3" x14ac:dyDescent="0.35">
      <c r="B89" s="5" t="s">
        <v>80</v>
      </c>
      <c r="C89" s="6" t="s">
        <v>35</v>
      </c>
    </row>
    <row r="90" spans="2:3" x14ac:dyDescent="0.35">
      <c r="B90" s="5" t="s">
        <v>80</v>
      </c>
      <c r="C90" s="6" t="s">
        <v>85</v>
      </c>
    </row>
    <row r="91" spans="2:3" x14ac:dyDescent="0.35">
      <c r="B91" s="5" t="s">
        <v>80</v>
      </c>
      <c r="C91" s="6" t="s">
        <v>86</v>
      </c>
    </row>
    <row r="92" spans="2:3" x14ac:dyDescent="0.35">
      <c r="B92" s="5" t="s">
        <v>84</v>
      </c>
      <c r="C92" s="6" t="s">
        <v>87</v>
      </c>
    </row>
    <row r="93" spans="2:3" x14ac:dyDescent="0.35">
      <c r="B93" s="5" t="s">
        <v>84</v>
      </c>
      <c r="C93" s="6" t="s">
        <v>88</v>
      </c>
    </row>
    <row r="94" spans="2:3" x14ac:dyDescent="0.35">
      <c r="B94" s="5" t="s">
        <v>80</v>
      </c>
      <c r="C94" s="6" t="s">
        <v>89</v>
      </c>
    </row>
    <row r="95" spans="2:3" x14ac:dyDescent="0.35">
      <c r="B95" s="5" t="s">
        <v>84</v>
      </c>
      <c r="C95" s="6" t="s">
        <v>90</v>
      </c>
    </row>
    <row r="96" spans="2:3" x14ac:dyDescent="0.35">
      <c r="B96" s="7" t="s">
        <v>84</v>
      </c>
      <c r="C96" s="8" t="s">
        <v>91</v>
      </c>
    </row>
  </sheetData>
  <mergeCells count="14">
    <mergeCell ref="B56:C56"/>
    <mergeCell ref="B70:C70"/>
    <mergeCell ref="B84:C84"/>
    <mergeCell ref="B2:C2"/>
    <mergeCell ref="B11:C11"/>
    <mergeCell ref="C28:D28"/>
    <mergeCell ref="K28:L28"/>
    <mergeCell ref="F12:G12"/>
    <mergeCell ref="I12:J12"/>
    <mergeCell ref="L12:M12"/>
    <mergeCell ref="B42:C42"/>
    <mergeCell ref="E28:F28"/>
    <mergeCell ref="G28:H28"/>
    <mergeCell ref="I28:J2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5103D-744E-410D-93AA-7F1495C0F972}">
  <dimension ref="B3:K13"/>
  <sheetViews>
    <sheetView tabSelected="1" workbookViewId="0">
      <selection activeCell="J5" sqref="J5:K6"/>
    </sheetView>
  </sheetViews>
  <sheetFormatPr defaultRowHeight="14.5" x14ac:dyDescent="0.35"/>
  <cols>
    <col min="2" max="2" width="30.26953125" bestFit="1" customWidth="1"/>
    <col min="3" max="3" width="7.1796875" bestFit="1" customWidth="1"/>
    <col min="4" max="4" width="6.81640625" bestFit="1" customWidth="1"/>
    <col min="5" max="5" width="49.7265625" bestFit="1" customWidth="1"/>
    <col min="6" max="6" width="9.81640625" bestFit="1" customWidth="1"/>
    <col min="7" max="7" width="11.81640625" bestFit="1" customWidth="1"/>
    <col min="8" max="8" width="17.54296875" bestFit="1" customWidth="1"/>
    <col min="10" max="10" width="9.81640625" customWidth="1"/>
  </cols>
  <sheetData>
    <row r="3" spans="2:11" x14ac:dyDescent="0.35">
      <c r="B3" s="2" t="s">
        <v>93</v>
      </c>
      <c r="C3" s="9" t="s">
        <v>30</v>
      </c>
      <c r="D3" s="10"/>
      <c r="E3" s="11"/>
      <c r="F3" s="9" t="s">
        <v>31</v>
      </c>
      <c r="G3" s="10"/>
      <c r="H3" s="11"/>
    </row>
    <row r="4" spans="2:11" x14ac:dyDescent="0.35">
      <c r="B4" s="1"/>
      <c r="C4" s="1" t="s">
        <v>28</v>
      </c>
      <c r="D4" s="1" t="s">
        <v>29</v>
      </c>
      <c r="E4" s="1" t="s">
        <v>94</v>
      </c>
      <c r="F4" s="1" t="s">
        <v>28</v>
      </c>
      <c r="G4" s="1" t="s">
        <v>29</v>
      </c>
      <c r="H4" s="1" t="s">
        <v>94</v>
      </c>
    </row>
    <row r="5" spans="2:11" x14ac:dyDescent="0.35">
      <c r="B5" s="1" t="s">
        <v>24</v>
      </c>
      <c r="C5" s="1">
        <v>40000</v>
      </c>
      <c r="D5" s="1">
        <v>480000</v>
      </c>
      <c r="E5" s="1"/>
      <c r="F5" s="1">
        <v>55000</v>
      </c>
      <c r="G5" s="1">
        <v>660000</v>
      </c>
      <c r="H5" s="1"/>
      <c r="J5" t="s">
        <v>97</v>
      </c>
      <c r="K5" t="s">
        <v>99</v>
      </c>
    </row>
    <row r="6" spans="2:11" x14ac:dyDescent="0.35">
      <c r="B6" s="1" t="s">
        <v>25</v>
      </c>
      <c r="C6" s="1"/>
      <c r="D6" s="1">
        <v>40000</v>
      </c>
      <c r="E6" s="1"/>
      <c r="F6" s="1"/>
      <c r="G6" s="1">
        <v>55000</v>
      </c>
      <c r="H6" s="1" t="s">
        <v>96</v>
      </c>
      <c r="J6" t="s">
        <v>98</v>
      </c>
      <c r="K6" t="s">
        <v>99</v>
      </c>
    </row>
    <row r="7" spans="2:11" x14ac:dyDescent="0.35">
      <c r="B7" s="1" t="s">
        <v>26</v>
      </c>
      <c r="C7" s="1"/>
      <c r="D7" s="1"/>
      <c r="E7" s="1"/>
      <c r="F7" s="1"/>
      <c r="G7" s="1">
        <v>110000</v>
      </c>
      <c r="H7" s="1"/>
    </row>
    <row r="8" spans="2:11" x14ac:dyDescent="0.35">
      <c r="B8" s="1" t="s">
        <v>27</v>
      </c>
      <c r="C8" s="1"/>
      <c r="D8" s="1">
        <v>25000</v>
      </c>
      <c r="E8" s="1" t="s">
        <v>95</v>
      </c>
      <c r="F8" s="1">
        <v>4062.5</v>
      </c>
      <c r="G8" s="1">
        <v>48750</v>
      </c>
      <c r="H8" s="1"/>
    </row>
    <row r="9" spans="2:11" x14ac:dyDescent="0.35">
      <c r="B9" s="1" t="s">
        <v>35</v>
      </c>
      <c r="C9" s="1"/>
      <c r="D9" s="1">
        <v>60000</v>
      </c>
      <c r="E9" s="1"/>
      <c r="F9" s="1"/>
      <c r="G9" s="1"/>
      <c r="H9" s="1"/>
    </row>
    <row r="10" spans="2:11" x14ac:dyDescent="0.35">
      <c r="B10" s="1" t="s">
        <v>36</v>
      </c>
      <c r="C10" s="1"/>
      <c r="D10" s="1">
        <v>80000</v>
      </c>
      <c r="E10" s="1"/>
      <c r="F10" s="1"/>
      <c r="G10" s="1"/>
      <c r="H10" s="1"/>
    </row>
    <row r="11" spans="2:11" x14ac:dyDescent="0.35">
      <c r="B11" s="1" t="s">
        <v>37</v>
      </c>
      <c r="C11" s="1"/>
      <c r="D11" s="1">
        <v>20000</v>
      </c>
      <c r="E11" s="1"/>
      <c r="F11" s="1"/>
      <c r="G11" s="1"/>
      <c r="H11" s="1"/>
    </row>
    <row r="12" spans="2:11" x14ac:dyDescent="0.35">
      <c r="B12" s="1" t="s">
        <v>39</v>
      </c>
      <c r="C12" s="1"/>
      <c r="D12" s="1"/>
      <c r="E12" s="1"/>
      <c r="F12" s="3">
        <v>0.4765625</v>
      </c>
      <c r="G12" s="3">
        <v>0.23936170212765959</v>
      </c>
      <c r="H12" s="1"/>
    </row>
    <row r="13" spans="2:11" x14ac:dyDescent="0.35">
      <c r="B13" s="2" t="s">
        <v>38</v>
      </c>
      <c r="C13" s="2">
        <v>40000</v>
      </c>
      <c r="D13" s="2">
        <v>705000</v>
      </c>
      <c r="E13" s="2"/>
      <c r="F13" s="2">
        <v>59062.5</v>
      </c>
      <c r="G13" s="2">
        <v>873750</v>
      </c>
      <c r="H13" s="2"/>
    </row>
  </sheetData>
  <mergeCells count="2">
    <mergeCell ref="C3:E3"/>
    <mergeCell ref="F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Ramil Laude</dc:creator>
  <cp:lastModifiedBy>Ramil Laude</cp:lastModifiedBy>
  <dcterms:created xsi:type="dcterms:W3CDTF">2026-08-12T04:55:55Z</dcterms:created>
  <dcterms:modified xsi:type="dcterms:W3CDTF">2026-08-19T07:07:11Z</dcterms:modified>
</cp:coreProperties>
</file>