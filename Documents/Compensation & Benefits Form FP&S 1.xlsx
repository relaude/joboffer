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GitLab\joboffer\Documents\"/>
    </mc:Choice>
  </mc:AlternateContent>
  <xr:revisionPtr revIDLastSave="0" documentId="13_ncr:1_{7B2815DB-BFCF-4809-95BC-30C9A77B7646}" xr6:coauthVersionLast="47" xr6:coauthVersionMax="47" xr10:uidLastSave="{00000000-0000-0000-0000-000000000000}"/>
  <bookViews>
    <workbookView xWindow="-110" yWindow="-110" windowWidth="19420" windowHeight="11500" activeTab="1" xr2:uid="{00000000-000D-0000-FFFF-FFFF00000000}"/>
  </bookViews>
  <sheets>
    <sheet name="Drop Down List" sheetId="7" r:id="rId1"/>
    <sheet name="Responses" sheetId="1" r:id="rId2"/>
    <sheet name="Benefits" sheetId="4" r:id="rId3"/>
    <sheet name="JO Regular" sheetId="3" r:id="rId4"/>
    <sheet name="Options Regular" sheetId="13" r:id="rId5"/>
    <sheet name="CC Regular" sheetId="6" r:id="rId6"/>
    <sheet name="JO Project" sheetId="14" r:id="rId7"/>
    <sheet name="Options Project" sheetId="15" r:id="rId8"/>
    <sheet name="CC Project" sheetId="9" r:id="rId9"/>
    <sheet name="JO Consultant" sheetId="10" r:id="rId10"/>
    <sheet name="CC Consultant" sheetId="11" r:id="rId11"/>
  </sheets>
  <definedNames>
    <definedName name="MRI">'Drop Down List'!$E$31:$F$44</definedName>
    <definedName name="_xlnm.Print_Area" localSheetId="10">'CC Consultant'!$A$1:$E$28</definedName>
    <definedName name="_xlnm.Print_Area" localSheetId="8">'CC Project'!$A$1:$E$31</definedName>
    <definedName name="_xlnm.Print_Area" localSheetId="5">'CC Regular'!$A$1:$D$60</definedName>
    <definedName name="_xlnm.Print_Area" localSheetId="9">'JO Consultant'!$A$1:$W$57</definedName>
    <definedName name="_xlnm.Print_Area" localSheetId="6">'JO Project'!$A$1:$W$63</definedName>
    <definedName name="_xlnm.Print_Area" localSheetId="3">'JO Regular'!$A$1:$W$61</definedName>
    <definedName name="_xlnm.Print_Area" localSheetId="7">'Options Project'!$A$1:$W$30</definedName>
    <definedName name="_xlnm.Print_Area" localSheetId="4">'Options Regular'!$A$1:$W$28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3" l="1"/>
  <c r="B33" i="6"/>
  <c r="D33" i="6"/>
  <c r="C13" i="6"/>
  <c r="B7" i="9"/>
  <c r="B8" i="9"/>
  <c r="B8" i="11"/>
  <c r="B7" i="11"/>
  <c r="D29" i="6"/>
  <c r="B29" i="6"/>
  <c r="E8" i="3"/>
  <c r="B5" i="6" s="1"/>
  <c r="F26" i="3"/>
  <c r="F28" i="3"/>
  <c r="L12" i="13"/>
  <c r="J12" i="13"/>
  <c r="H12" i="13"/>
  <c r="F12" i="13"/>
  <c r="M18" i="13"/>
  <c r="K18" i="13"/>
  <c r="I18" i="13"/>
  <c r="G18" i="13"/>
  <c r="M14" i="13"/>
  <c r="M13" i="13"/>
  <c r="K14" i="13"/>
  <c r="K13" i="13"/>
  <c r="I14" i="13"/>
  <c r="I13" i="13"/>
  <c r="G14" i="13"/>
  <c r="G13" i="13"/>
  <c r="K42" i="3"/>
  <c r="K43" i="3"/>
  <c r="B7" i="6"/>
  <c r="Q38" i="3"/>
  <c r="P38" i="3" s="1"/>
  <c r="AA38" i="3"/>
  <c r="B31" i="6"/>
  <c r="I38" i="10"/>
  <c r="H38" i="10"/>
  <c r="AB38" i="10"/>
  <c r="AA38" i="10"/>
  <c r="AC38" i="10" s="1"/>
  <c r="K38" i="10" s="1"/>
  <c r="AB42" i="10"/>
  <c r="H35" i="3"/>
  <c r="I36" i="3" s="1"/>
  <c r="D13" i="13" s="1"/>
  <c r="P28" i="3"/>
  <c r="P26" i="3"/>
  <c r="K37" i="3"/>
  <c r="B27" i="6"/>
  <c r="D27" i="6" s="1"/>
  <c r="D18" i="6"/>
  <c r="B9" i="11"/>
  <c r="B9" i="9"/>
  <c r="B9" i="6"/>
  <c r="A1" i="10"/>
  <c r="A1" i="14"/>
  <c r="L18" i="13"/>
  <c r="L19" i="13"/>
  <c r="L20" i="13"/>
  <c r="M20" i="13"/>
  <c r="J18" i="13"/>
  <c r="J19" i="13"/>
  <c r="J20" i="13"/>
  <c r="K20" i="13"/>
  <c r="H18" i="13"/>
  <c r="H19" i="13"/>
  <c r="H20" i="13"/>
  <c r="I20" i="13"/>
  <c r="F20" i="13"/>
  <c r="G20" i="13"/>
  <c r="F19" i="13"/>
  <c r="F18" i="13"/>
  <c r="L13" i="13"/>
  <c r="L14" i="13"/>
  <c r="J13" i="13"/>
  <c r="J14" i="13"/>
  <c r="H13" i="13"/>
  <c r="H14" i="13"/>
  <c r="F14" i="13"/>
  <c r="F13" i="13"/>
  <c r="C14" i="13"/>
  <c r="C13" i="13"/>
  <c r="G12" i="13"/>
  <c r="I12" i="13"/>
  <c r="E10" i="10"/>
  <c r="B6" i="11" s="1"/>
  <c r="E8" i="10"/>
  <c r="B5" i="11" s="1"/>
  <c r="C19" i="15"/>
  <c r="C20" i="15"/>
  <c r="C18" i="15"/>
  <c r="B13" i="9"/>
  <c r="C13" i="15"/>
  <c r="C14" i="15"/>
  <c r="F19" i="15"/>
  <c r="G20" i="15"/>
  <c r="G19" i="15"/>
  <c r="C12" i="15"/>
  <c r="C4" i="15"/>
  <c r="H19" i="15"/>
  <c r="I19" i="15"/>
  <c r="J19" i="15"/>
  <c r="K19" i="15"/>
  <c r="L19" i="15"/>
  <c r="M19" i="15"/>
  <c r="H20" i="15"/>
  <c r="I20" i="15"/>
  <c r="J20" i="15"/>
  <c r="K20" i="15"/>
  <c r="L20" i="15"/>
  <c r="M20" i="15"/>
  <c r="F4" i="15"/>
  <c r="F12" i="15"/>
  <c r="G12" i="15"/>
  <c r="H12" i="15"/>
  <c r="I12" i="15"/>
  <c r="J12" i="15"/>
  <c r="K12" i="15"/>
  <c r="L12" i="15"/>
  <c r="M12" i="15"/>
  <c r="G13" i="15"/>
  <c r="I13" i="15"/>
  <c r="K13" i="15"/>
  <c r="M13" i="15"/>
  <c r="G14" i="15"/>
  <c r="I14" i="15"/>
  <c r="K14" i="15"/>
  <c r="M14" i="15"/>
  <c r="I42" i="14"/>
  <c r="D18" i="15" s="1"/>
  <c r="AA42" i="14"/>
  <c r="AB42" i="14"/>
  <c r="I43" i="14"/>
  <c r="D19" i="15" s="1"/>
  <c r="K43" i="14"/>
  <c r="Y43" i="14"/>
  <c r="I44" i="14"/>
  <c r="D20" i="15" s="1"/>
  <c r="K44" i="14"/>
  <c r="Y44" i="14"/>
  <c r="I36" i="14"/>
  <c r="D12" i="15" s="1"/>
  <c r="Q36" i="14"/>
  <c r="X36" i="14"/>
  <c r="Y36" i="14"/>
  <c r="K37" i="14"/>
  <c r="Y37" i="14"/>
  <c r="I38" i="14"/>
  <c r="D14" i="15" s="1"/>
  <c r="K38" i="14"/>
  <c r="Y38" i="14"/>
  <c r="H39" i="14"/>
  <c r="C15" i="15" s="1"/>
  <c r="I39" i="14"/>
  <c r="D15" i="15" s="1"/>
  <c r="Y39" i="14"/>
  <c r="AA39" i="14"/>
  <c r="AB39" i="14"/>
  <c r="P29" i="14"/>
  <c r="F29" i="14"/>
  <c r="P27" i="14"/>
  <c r="F27" i="14"/>
  <c r="E10" i="14"/>
  <c r="B6" i="9" s="1"/>
  <c r="E8" i="14"/>
  <c r="B5" i="9" s="1"/>
  <c r="R4" i="14"/>
  <c r="C19" i="13"/>
  <c r="C20" i="13"/>
  <c r="C18" i="13"/>
  <c r="Q37" i="3"/>
  <c r="Q36" i="3"/>
  <c r="B13" i="11"/>
  <c r="I37" i="10"/>
  <c r="AA42" i="10"/>
  <c r="K37" i="10"/>
  <c r="K36" i="10"/>
  <c r="H35" i="10"/>
  <c r="P28" i="10"/>
  <c r="P26" i="10"/>
  <c r="F28" i="10"/>
  <c r="F26" i="10"/>
  <c r="R4" i="10"/>
  <c r="B13" i="6"/>
  <c r="I43" i="3"/>
  <c r="D20" i="13" s="1"/>
  <c r="I42" i="3"/>
  <c r="D19" i="13" s="1"/>
  <c r="I41" i="3"/>
  <c r="D18" i="13" s="1"/>
  <c r="AB41" i="3"/>
  <c r="AA41" i="3"/>
  <c r="AC41" i="3" s="1"/>
  <c r="AB38" i="3"/>
  <c r="I37" i="3"/>
  <c r="D14" i="13" s="1"/>
  <c r="B8" i="6"/>
  <c r="B6" i="6"/>
  <c r="B27" i="4"/>
  <c r="B25" i="4"/>
  <c r="B23" i="4"/>
  <c r="B22" i="4"/>
  <c r="B20" i="4"/>
  <c r="B19" i="4"/>
  <c r="B18" i="4"/>
  <c r="B16" i="4"/>
  <c r="B15" i="4"/>
  <c r="B13" i="4"/>
  <c r="B12" i="4"/>
  <c r="B11" i="4"/>
  <c r="B14" i="4"/>
  <c r="B7" i="4"/>
  <c r="B6" i="4"/>
  <c r="B5" i="4"/>
  <c r="P44" i="10"/>
  <c r="I42" i="10"/>
  <c r="Q35" i="10"/>
  <c r="Q44" i="10" s="1"/>
  <c r="AC39" i="14" l="1"/>
  <c r="K39" i="14" s="1"/>
  <c r="X44" i="14"/>
  <c r="X39" i="14"/>
  <c r="AC42" i="14"/>
  <c r="X38" i="14"/>
  <c r="X43" i="14"/>
  <c r="I36" i="10"/>
  <c r="C4" i="13"/>
  <c r="F4" i="13" s="1"/>
  <c r="C15" i="13"/>
  <c r="D15" i="13"/>
  <c r="C12" i="13"/>
  <c r="C21" i="13" s="1"/>
  <c r="I37" i="14"/>
  <c r="I45" i="14" s="1"/>
  <c r="M19" i="13"/>
  <c r="K19" i="13"/>
  <c r="I19" i="13"/>
  <c r="G19" i="13"/>
  <c r="L15" i="13"/>
  <c r="J15" i="13"/>
  <c r="H15" i="13"/>
  <c r="F15" i="13"/>
  <c r="M15" i="13"/>
  <c r="K15" i="13"/>
  <c r="I15" i="13"/>
  <c r="G15" i="13"/>
  <c r="L21" i="13"/>
  <c r="M12" i="13"/>
  <c r="J21" i="13"/>
  <c r="K12" i="13"/>
  <c r="H21" i="13"/>
  <c r="B3" i="15"/>
  <c r="B3" i="13"/>
  <c r="M18" i="15"/>
  <c r="M21" i="15" s="1"/>
  <c r="L21" i="15"/>
  <c r="K18" i="15"/>
  <c r="K21" i="15" s="1"/>
  <c r="J21" i="15"/>
  <c r="I18" i="15"/>
  <c r="I21" i="15" s="1"/>
  <c r="H21" i="15"/>
  <c r="G18" i="15"/>
  <c r="G21" i="15" s="1"/>
  <c r="F21" i="15"/>
  <c r="C21" i="15"/>
  <c r="P45" i="14"/>
  <c r="H45" i="14"/>
  <c r="Y45" i="14"/>
  <c r="Q45" i="14"/>
  <c r="H44" i="3"/>
  <c r="F21" i="13"/>
  <c r="AC38" i="3"/>
  <c r="AC42" i="10"/>
  <c r="H44" i="10"/>
  <c r="P49" i="10" s="1"/>
  <c r="I35" i="10"/>
  <c r="I44" i="10" s="1"/>
  <c r="R49" i="10" s="1"/>
  <c r="L27" i="13" l="1"/>
  <c r="J7" i="13" s="1"/>
  <c r="X37" i="14"/>
  <c r="X45" i="14" s="1"/>
  <c r="D13" i="15"/>
  <c r="D21" i="15" s="1"/>
  <c r="G27" i="15" s="1"/>
  <c r="K4" i="15" s="1"/>
  <c r="F27" i="15"/>
  <c r="J4" i="15" s="1"/>
  <c r="H27" i="15"/>
  <c r="J5" i="15" s="1"/>
  <c r="J27" i="15"/>
  <c r="J6" i="15" s="1"/>
  <c r="L27" i="15"/>
  <c r="J7" i="15" s="1"/>
  <c r="H27" i="13"/>
  <c r="J5" i="13" s="1"/>
  <c r="J27" i="13"/>
  <c r="J6" i="13" s="1"/>
  <c r="R49" i="14"/>
  <c r="P49" i="14"/>
  <c r="F27" i="13"/>
  <c r="J4" i="13" s="1"/>
  <c r="M27" i="15" l="1"/>
  <c r="K7" i="15" s="1"/>
  <c r="K27" i="15"/>
  <c r="K6" i="15" s="1"/>
  <c r="I27" i="15"/>
  <c r="K5" i="15" s="1"/>
  <c r="Y43" i="3"/>
  <c r="X43" i="3"/>
  <c r="Y42" i="3"/>
  <c r="X42" i="3"/>
  <c r="Q41" i="3"/>
  <c r="Y38" i="3"/>
  <c r="X38" i="3"/>
  <c r="X37" i="3"/>
  <c r="Y37" i="3"/>
  <c r="Y36" i="3"/>
  <c r="X36" i="3"/>
  <c r="Q35" i="3"/>
  <c r="I35" i="3"/>
  <c r="M21" i="13" l="1"/>
  <c r="K21" i="13"/>
  <c r="I21" i="13"/>
  <c r="G21" i="13"/>
  <c r="I44" i="3"/>
  <c r="D12" i="13"/>
  <c r="P44" i="3"/>
  <c r="P47" i="3" s="1"/>
  <c r="X35" i="3"/>
  <c r="X44" i="3" s="1"/>
  <c r="Q44" i="3"/>
  <c r="Q47" i="3" s="1"/>
  <c r="Y35" i="3"/>
  <c r="Y44" i="3" s="1"/>
  <c r="D21" i="13" l="1"/>
  <c r="I27" i="13" s="1"/>
  <c r="K5" i="13" s="1"/>
  <c r="M27" i="13" l="1"/>
  <c r="K7" i="13" s="1"/>
  <c r="K27" i="13"/>
  <c r="K6" i="13" s="1"/>
  <c r="G27" i="13"/>
  <c r="K4" i="13" s="1"/>
</calcChain>
</file>

<file path=xl/sharedStrings.xml><?xml version="1.0" encoding="utf-8"?>
<sst xmlns="http://schemas.openxmlformats.org/spreadsheetml/2006/main" count="955" uniqueCount="484">
  <si>
    <t>DROP DOWN VALUES</t>
  </si>
  <si>
    <t>EMP STATUS</t>
  </si>
  <si>
    <t>REGULAR</t>
  </si>
  <si>
    <t>FREQUENCY</t>
  </si>
  <si>
    <t>ANNUAL</t>
  </si>
  <si>
    <t>ANN</t>
  </si>
  <si>
    <t>REGULAR SECONDED</t>
  </si>
  <si>
    <t>BI-MONTHLY</t>
  </si>
  <si>
    <t>BIM</t>
  </si>
  <si>
    <t>PROBATIONARY</t>
  </si>
  <si>
    <t>BI-WEEKLY</t>
  </si>
  <si>
    <t>NIK</t>
  </si>
  <si>
    <t>TEMP PROJECT HIRE</t>
  </si>
  <si>
    <t>DAILY</t>
  </si>
  <si>
    <t>DLY</t>
  </si>
  <si>
    <t>CONSULTANT</t>
  </si>
  <si>
    <t>DAILY360</t>
  </si>
  <si>
    <t>D36</t>
  </si>
  <si>
    <t>CONSULTANT EXTENDEE</t>
  </si>
  <si>
    <t>HALF-YEARLY</t>
  </si>
  <si>
    <t>HFY</t>
  </si>
  <si>
    <t>WORK AREA</t>
  </si>
  <si>
    <t>OFFICE</t>
  </si>
  <si>
    <t>HOURLY</t>
  </si>
  <si>
    <t>OFFICE INTL</t>
  </si>
  <si>
    <t>QUARTERLY</t>
  </si>
  <si>
    <t>QTL</t>
  </si>
  <si>
    <t>OFFICE PROVINCIAL</t>
  </si>
  <si>
    <t>SEMI-MONTHLY</t>
  </si>
  <si>
    <t>SMT</t>
  </si>
  <si>
    <t>FIELD GMA</t>
  </si>
  <si>
    <t>WEEKLY</t>
  </si>
  <si>
    <t>WKL</t>
  </si>
  <si>
    <t>FIELD INTERNATIONAL</t>
  </si>
  <si>
    <t>MONTHLY</t>
  </si>
  <si>
    <t>MON</t>
  </si>
  <si>
    <t>FIELD PROVINCIAL</t>
  </si>
  <si>
    <t>MONTHLY13</t>
  </si>
  <si>
    <t>M13</t>
  </si>
  <si>
    <t>PLANT</t>
  </si>
  <si>
    <t>MONTHLY14</t>
  </si>
  <si>
    <t>M14</t>
  </si>
  <si>
    <t>PLANT INTERNATIONAL</t>
  </si>
  <si>
    <t>MONTHLY15</t>
  </si>
  <si>
    <t>M15</t>
  </si>
  <si>
    <t>PLANT PROVINCIAL</t>
  </si>
  <si>
    <t>MONTHLY16</t>
  </si>
  <si>
    <t>M16</t>
  </si>
  <si>
    <t>SHIFT CODE</t>
  </si>
  <si>
    <t>NPO (Non-Punching-Office)</t>
  </si>
  <si>
    <t>001 - 7:30 – 16:30</t>
  </si>
  <si>
    <t>MOTORIZED</t>
  </si>
  <si>
    <t>YES</t>
  </si>
  <si>
    <t>O02 - 7:00 – 16:00</t>
  </si>
  <si>
    <t>NO</t>
  </si>
  <si>
    <t>O04 - 7:00 – 17:00</t>
  </si>
  <si>
    <t>O06 - 7:30 – 4:30</t>
  </si>
  <si>
    <t>INCENTIVED</t>
  </si>
  <si>
    <t>O11 - 7:30 – 17:30</t>
  </si>
  <si>
    <t>O23 - 8:00 – 6:00</t>
  </si>
  <si>
    <t>O24 - 8:00 – 17:00</t>
  </si>
  <si>
    <t>ANNUAL BONUS</t>
  </si>
  <si>
    <t>YES2</t>
  </si>
  <si>
    <t>M01 - 6:00 – 14:00</t>
  </si>
  <si>
    <t>YES5</t>
  </si>
  <si>
    <t>H40 - 7:00 – 17:00</t>
  </si>
  <si>
    <t>WORK SCHEDULE</t>
  </si>
  <si>
    <t>COMPRESSED</t>
  </si>
  <si>
    <t>SPECIAL ALLOWANCE</t>
  </si>
  <si>
    <t>NON-COMPRESSED 1</t>
  </si>
  <si>
    <t>HZ</t>
  </si>
  <si>
    <t>NON-COMPRESSED 2</t>
  </si>
  <si>
    <t>PA</t>
  </si>
  <si>
    <t>SWIPING STATUS</t>
  </si>
  <si>
    <t>SWIPING</t>
  </si>
  <si>
    <t>NON-SWIPING</t>
  </si>
  <si>
    <t>SG</t>
  </si>
  <si>
    <t>SG 05</t>
  </si>
  <si>
    <t>JOB CLASS</t>
  </si>
  <si>
    <t>RANK &amp; FILE</t>
  </si>
  <si>
    <t>SG 06</t>
  </si>
  <si>
    <t>SUPERVISORY</t>
  </si>
  <si>
    <t>SG 07</t>
  </si>
  <si>
    <t>ASSISTANT MANAGER</t>
  </si>
  <si>
    <t>SG 08</t>
  </si>
  <si>
    <t>KEY PERSONNEL</t>
  </si>
  <si>
    <t>SG 09</t>
  </si>
  <si>
    <t>MRI</t>
  </si>
  <si>
    <t>SG 10</t>
  </si>
  <si>
    <t>YEAR</t>
  </si>
  <si>
    <t>S1</t>
  </si>
  <si>
    <t>N/A</t>
  </si>
  <si>
    <t>S2</t>
  </si>
  <si>
    <t>TRANSPO ALLOWANCE</t>
  </si>
  <si>
    <t>S2-C</t>
  </si>
  <si>
    <t>PROBY</t>
  </si>
  <si>
    <t>S3</t>
  </si>
  <si>
    <t>S3-C</t>
  </si>
  <si>
    <t>S4</t>
  </si>
  <si>
    <t>S4-C</t>
  </si>
  <si>
    <t>S5</t>
  </si>
  <si>
    <t>PREPARED BY</t>
  </si>
  <si>
    <t>S5-C</t>
  </si>
  <si>
    <t>TALENT ACQUISITION SPECIALIST</t>
  </si>
  <si>
    <t>A CANSANAY</t>
  </si>
  <si>
    <t>AM</t>
  </si>
  <si>
    <t>N ASENSI</t>
  </si>
  <si>
    <t>TEMP SG</t>
  </si>
  <si>
    <t>NR</t>
  </si>
  <si>
    <t>M FERRER</t>
  </si>
  <si>
    <t>NR-C</t>
  </si>
  <si>
    <t>E FALCON</t>
  </si>
  <si>
    <t>NR-C1</t>
  </si>
  <si>
    <t>RM LEE</t>
  </si>
  <si>
    <t>NR-C2</t>
  </si>
  <si>
    <t>NR-C3</t>
  </si>
  <si>
    <t>ENDORSED BY</t>
  </si>
  <si>
    <t>Will affect ___ of ___ comparators / No comparators affected</t>
  </si>
  <si>
    <t>[MIN / MID / MAX / Between MIN and MID / etc] of market-derived salary structure for the level</t>
  </si>
  <si>
    <t>MA LEE</t>
  </si>
  <si>
    <t>Company</t>
  </si>
  <si>
    <t>Unilab, Inc.</t>
  </si>
  <si>
    <t>UL Skin Sciences Inc.</t>
  </si>
  <si>
    <t>Id</t>
  </si>
  <si>
    <t>Start time</t>
  </si>
  <si>
    <t>Completion time</t>
  </si>
  <si>
    <t>Email</t>
  </si>
  <si>
    <t>Name</t>
  </si>
  <si>
    <t>By proceeding with this form, you consent to the collection, generation, use, processing, storage and retention of your personal data by the Company for your application process. </t>
  </si>
  <si>
    <t>Full Name (First Name, Last Name)</t>
  </si>
  <si>
    <t>Date Form is Accomplished</t>
  </si>
  <si>
    <t>Position Applied For</t>
  </si>
  <si>
    <t>Unilab Division</t>
  </si>
  <si>
    <t>Expected Monthly Basic Salary</t>
  </si>
  <si>
    <t>Age</t>
  </si>
  <si>
    <t>Employment Status</t>
  </si>
  <si>
    <t>Experience</t>
  </si>
  <si>
    <t>Name of Current Employer</t>
  </si>
  <si>
    <t>Industry of Last Employer</t>
  </si>
  <si>
    <t>Last Position Held</t>
  </si>
  <si>
    <t>Monthly Basic Salary</t>
  </si>
  <si>
    <t>Guaranteed Months Pay</t>
  </si>
  <si>
    <t>Other Guaranteed Bonuses (Received Annually)</t>
  </si>
  <si>
    <t>Amount of Guaranteed Bonuses  (Received Annually)</t>
  </si>
  <si>
    <t>Allowances (Received Monthly)</t>
  </si>
  <si>
    <t>Allowances (Received Monthly)1</t>
  </si>
  <si>
    <t>Other Allowances (Received Non-monthly; quarterly, semi-annual or annual basis )</t>
  </si>
  <si>
    <t>Amount of Other Allowances (Received Non-monthly; quarterly, semi-annual or annual basis )</t>
  </si>
  <si>
    <t>Fixed Non-Taxable Allowances (Received Monthly)</t>
  </si>
  <si>
    <t>Amount of Fixed Non-Taxable Allowances (Received Monthly)</t>
  </si>
  <si>
    <t>Fixed Non-Taxable Allowances (Received Annually)</t>
  </si>
  <si>
    <t>Amount of Fixed Non-Taxable Allowances (Received Annually)</t>
  </si>
  <si>
    <t>Profit Sharing</t>
  </si>
  <si>
    <t>Total Incentives / Commission (Annual)</t>
  </si>
  <si>
    <t>Total Incentives / Commission (Annual)1</t>
  </si>
  <si>
    <t>Other variable Pay (Annual)</t>
  </si>
  <si>
    <t>Amount of Other variable Pay (Annual)</t>
  </si>
  <si>
    <t>HMO Benefit Limit for Employee</t>
  </si>
  <si>
    <t>HMO Benefit Limit for Dependents</t>
  </si>
  <si>
    <t>Dental</t>
  </si>
  <si>
    <t>Medicine Reimbursement</t>
  </si>
  <si>
    <t>Optical</t>
  </si>
  <si>
    <t>Other Health Benefits</t>
  </si>
  <si>
    <t>Optional/Vacation Leaves</t>
  </si>
  <si>
    <t>Sick Leave</t>
  </si>
  <si>
    <t>Other Leaves</t>
  </si>
  <si>
    <t>Life Insurance</t>
  </si>
  <si>
    <t>Other Benefits you are receiving but not asked in this form</t>
  </si>
  <si>
    <t>Car / Vehicle or Car Plan if received in cash</t>
  </si>
  <si>
    <t>Cellular Phone</t>
  </si>
  <si>
    <t>ACCEPTED (TA)</t>
  </si>
  <si>
    <t>anonymous</t>
  </si>
  <si>
    <t>I agree</t>
  </si>
  <si>
    <t>With 3 to 5 years of relevant work experience</t>
  </si>
  <si>
    <t>Currently employed</t>
  </si>
  <si>
    <t>With less than 1 year of relevant work experience.</t>
  </si>
  <si>
    <t>Banking &amp; Finance, Insurance</t>
  </si>
  <si>
    <t>Manufacturing</t>
  </si>
  <si>
    <t>Midyear Bonus</t>
  </si>
  <si>
    <t>Quarterly Clothing Allowance</t>
  </si>
  <si>
    <t>2000</t>
  </si>
  <si>
    <t>150,000 maximum benefit limit</t>
  </si>
  <si>
    <t>Basic dental services covered (employee only)</t>
  </si>
  <si>
    <t>₱500,000 coverage (company-paid)</t>
  </si>
  <si>
    <t>Food &amp; Beverage</t>
  </si>
  <si>
    <t>3000</t>
  </si>
  <si>
    <t>With 6 to 10 years of relevant work experience</t>
  </si>
  <si>
    <t>14th Month Pay</t>
  </si>
  <si>
    <t>100000</t>
  </si>
  <si>
    <t>n/a</t>
  </si>
  <si>
    <t>10 days</t>
  </si>
  <si>
    <t>0</t>
  </si>
  <si>
    <t>With 1 to 2 years of relevant work experience</t>
  </si>
  <si>
    <t>NA</t>
  </si>
  <si>
    <t>13th Month Pay</t>
  </si>
  <si>
    <t>Toyota Vios</t>
  </si>
  <si>
    <t>Transportation Allowance</t>
  </si>
  <si>
    <t>Currently unemployed</t>
  </si>
  <si>
    <t>12th Month Pay</t>
  </si>
  <si>
    <t>Consumer Goods</t>
  </si>
  <si>
    <t>More than 10 years of relevant work experience</t>
  </si>
  <si>
    <t>300000</t>
  </si>
  <si>
    <t>250000</t>
  </si>
  <si>
    <t>12 days</t>
  </si>
  <si>
    <t>100,000</t>
  </si>
  <si>
    <t>BSV BIOSCIENCE PHILS. INC.</t>
  </si>
  <si>
    <t>PRODUCT MANAGER</t>
  </si>
  <si>
    <t>Pharmaceutical &amp; Healthcare</t>
  </si>
  <si>
    <t>Quarterly Rice Allowance</t>
  </si>
  <si>
    <t>RC EGG TRADING</t>
  </si>
  <si>
    <t>DISTRIBUTION MANAGER</t>
  </si>
  <si>
    <t>R&amp;D</t>
  </si>
  <si>
    <t>Metadiagnostics Inc., dba Metametrics Laboratory</t>
  </si>
  <si>
    <t>Laboratory Manager</t>
  </si>
  <si>
    <t>transportation-meal allowance/per diem allowance, hazard pay</t>
  </si>
  <si>
    <t>quarterly rice/grocery subsidy, annual medical reimbursement</t>
  </si>
  <si>
    <t>10-12K lab head monthly incentive</t>
  </si>
  <si>
    <t xml:space="preserve">14th and 15th month performance based-bonus </t>
  </si>
  <si>
    <t>Dental services covered (employee)</t>
  </si>
  <si>
    <t>P5,000 per year</t>
  </si>
  <si>
    <t>included in the 150K limit</t>
  </si>
  <si>
    <t>7 days</t>
  </si>
  <si>
    <t>7 days, convertible to cash if unused</t>
  </si>
  <si>
    <t>P500,000 coverage (company paid)</t>
  </si>
  <si>
    <t>Pag-ibig, SSS, and Philhealth</t>
  </si>
  <si>
    <t>External Affairs Specialist</t>
  </si>
  <si>
    <t>Currently with part-time work</t>
  </si>
  <si>
    <t>CMC Designs</t>
  </si>
  <si>
    <t>Marketing/Media / Publication</t>
  </si>
  <si>
    <t>Digital Operations &amp; Content Manager</t>
  </si>
  <si>
    <t>Communication Allowance</t>
  </si>
  <si>
    <t>Performance Based Bonus</t>
  </si>
  <si>
    <t>Basic dental services covered</t>
  </si>
  <si>
    <t>15 days, non-convertable to cash if unused</t>
  </si>
  <si>
    <t>10 days, non-convertable to cash if unused</t>
  </si>
  <si>
    <t>ASST. PRODUCT MANAGER</t>
  </si>
  <si>
    <t>Annual Incentives</t>
  </si>
  <si>
    <t>CUSTOMER DEVELOPMENT SPECIALIST</t>
  </si>
  <si>
    <t>25000-30000 CHRISTMAS BONUS</t>
  </si>
  <si>
    <t>CONTROLLERSHIP ANALYST</t>
  </si>
  <si>
    <t>HOMER DE JESUS</t>
  </si>
  <si>
    <t>Professional Services</t>
  </si>
  <si>
    <t>ACCOUNTANT I</t>
  </si>
  <si>
    <t>Transportation Allowance, Meal Allowance, Communication Allowance</t>
  </si>
  <si>
    <t>150,000</t>
  </si>
  <si>
    <t>Trade Marketing Specialist</t>
  </si>
  <si>
    <t>All Year Home Products, Inc.</t>
  </si>
  <si>
    <t>Trade Marketing Manager</t>
  </si>
  <si>
    <t>Year End Bonus (1 month Salary)</t>
  </si>
  <si>
    <t>Non Tax Allowance, Transpo Allowance and Other Allowance</t>
  </si>
  <si>
    <t>Management Incentive</t>
  </si>
  <si>
    <t>130,000 accumulated benefit, including dependents. This is not an HMO plan; eligible medical expenses are reimbursable by the company.</t>
  </si>
  <si>
    <t>20000 (included in the 130,00)</t>
  </si>
  <si>
    <t>12 days, which may be carried over to the following year if unused.</t>
  </si>
  <si>
    <t>Birthday leave - 1 day and bereavement leave - 3 days</t>
  </si>
  <si>
    <t>1,000,000 (Company Paid)</t>
  </si>
  <si>
    <t>Company Phone is provided, Service Car is provided, Uniform is provided</t>
  </si>
  <si>
    <t>Montero GLS</t>
  </si>
  <si>
    <t>Android Phone with 700 Plan</t>
  </si>
  <si>
    <t>Business Unit Finance Specialist</t>
  </si>
  <si>
    <t>The Standard Hospitality Group</t>
  </si>
  <si>
    <t>Management Accounting Assistant Manager</t>
  </si>
  <si>
    <t>Midyear Performance Bonus</t>
  </si>
  <si>
    <t>De Minimis 3050, Mobile Allowance 500</t>
  </si>
  <si>
    <t>Up to ₱1,500 per year (employee only)</t>
  </si>
  <si>
    <t>15 days, not convertable to cash if unused</t>
  </si>
  <si>
    <t>15 days, convertable to cash if unused</t>
  </si>
  <si>
    <t>Mandatory Annual Physical Exam</t>
  </si>
  <si>
    <t>Controllership Specialist</t>
  </si>
  <si>
    <t>PwC Isla Lipana</t>
  </si>
  <si>
    <t>Experienced Audit Associate</t>
  </si>
  <si>
    <t>Meal Allowance, Data Subsidy, Work from Home Allowance</t>
  </si>
  <si>
    <t>Annual Cash Gift</t>
  </si>
  <si>
    <t>110,000</t>
  </si>
  <si>
    <t>10,000</t>
  </si>
  <si>
    <t xml:space="preserve">Included in dental </t>
  </si>
  <si>
    <t>Included in dental</t>
  </si>
  <si>
    <t>24</t>
  </si>
  <si>
    <t>Included in VL as multipurpose leave</t>
  </si>
  <si>
    <t>Trade Execution Specialist</t>
  </si>
  <si>
    <t>Mondelez Philippines, Inc.</t>
  </si>
  <si>
    <t>Retail Development Manager</t>
  </si>
  <si>
    <t>Meal Allowance = Daily field per diem (₱200/day; ₱400/day for outbase fieldwork beyond 50 km) ; Transportation Allowance = N/A – Business travel expenses were reimbursable based on company policy</t>
  </si>
  <si>
    <t>Performance-based Sales Incentives (quarterly incentive program with payouts of up to ₱80,000 per quarter, or up to ₱320,000 annually, including overachievement incentives for exceeding targets and monthly Big Hit incentives)</t>
  </si>
  <si>
    <t>Employee covered; maximum benefit limit not recalled</t>
  </si>
  <si>
    <t>1 dependent covered (mother); maximum benefit limit not recalled</t>
  </si>
  <si>
    <t>₱10,000 per year (employee only)</t>
  </si>
  <si>
    <t>15 days; up to 5 unused days may be carried over to the following year</t>
  </si>
  <si>
    <t>15 days; convertible to cash if unused</t>
  </si>
  <si>
    <t>Rice Allowance = Php 2,000 monthly</t>
  </si>
  <si>
    <t>Php 2,000 Allowance per month</t>
  </si>
  <si>
    <t>Trade Execution Specialist / Key Accounts</t>
  </si>
  <si>
    <t xml:space="preserve">Unilever </t>
  </si>
  <si>
    <t>Customer Development Executive</t>
  </si>
  <si>
    <t>Perfomance Based Bonus</t>
  </si>
  <si>
    <t>Gift Pack Allowance, Rice Subsidy, Meal Allowance, Incidentals, Housing Allowance, Car Wash, Gym Allowance</t>
  </si>
  <si>
    <t>Annual Medicine Allowance</t>
  </si>
  <si>
    <t>No profit sharing but matching of invested Unilever shares</t>
  </si>
  <si>
    <t>160000</t>
  </si>
  <si>
    <t>basic dental benefits including dependents</t>
  </si>
  <si>
    <t>20 days, convertable to cash if unused</t>
  </si>
  <si>
    <t>90 days</t>
  </si>
  <si>
    <t>Isuzu Dmax</t>
  </si>
  <si>
    <t>cash for phone (worth 20k) with unli call, text, and data; ipad with unli data</t>
  </si>
  <si>
    <t>ECommerce Officer</t>
  </si>
  <si>
    <t>WPP Media</t>
  </si>
  <si>
    <t>Senior Associate - ECommerce Planning</t>
  </si>
  <si>
    <t>800 php Phone Allowance</t>
  </si>
  <si>
    <t>200000</t>
  </si>
  <si>
    <t>Up to 12,000 per year (x2 with dependent)</t>
  </si>
  <si>
    <t>Medical reimbursements of PHP 15,000/year. Inclusive of PHP 12,500 Dental reimbursements.</t>
  </si>
  <si>
    <t>15 days</t>
  </si>
  <si>
    <t>Birthday leave - 1 day, emergency leave - 3 days</t>
  </si>
  <si>
    <t>Retirement Benefit • Marriage Bonus • Baby Bonus • Funeral Assistance</t>
  </si>
  <si>
    <t>CURRENT BENEFITS PACKAGE</t>
  </si>
  <si>
    <t>ID</t>
  </si>
  <si>
    <t>CANDIDATE'S NAME</t>
  </si>
  <si>
    <t>CURRENT POSITION</t>
  </si>
  <si>
    <t>CURRENT EMPLOYER</t>
  </si>
  <si>
    <t>BENEFITS</t>
  </si>
  <si>
    <t>DETAILS OF ENTITLEMENT</t>
  </si>
  <si>
    <t>HEALTH BENEFITS</t>
  </si>
  <si>
    <t>Hospitalization limit for employees</t>
  </si>
  <si>
    <t>Hospitalization limit for dependents</t>
  </si>
  <si>
    <t>LEAVES</t>
  </si>
  <si>
    <t>TOOLS OF TRADE</t>
  </si>
  <si>
    <t>Car/Vehicle</t>
  </si>
  <si>
    <t>INSURANCE PROGRAMS</t>
  </si>
  <si>
    <t>Other Benefits</t>
  </si>
  <si>
    <t>Job Offer Sheet - Compensation Package</t>
  </si>
  <si>
    <t xml:space="preserve"> </t>
  </si>
  <si>
    <t xml:space="preserve">Company: </t>
  </si>
  <si>
    <t>Date of Processing</t>
  </si>
  <si>
    <t>BASIC INFORMATION ABOUT THE CANDIDATE</t>
  </si>
  <si>
    <t>Candidate's Name</t>
  </si>
  <si>
    <t>Salary Grade</t>
  </si>
  <si>
    <t xml:space="preserve">Position Title </t>
  </si>
  <si>
    <t>TRADE EXECUTION SPECIALIST</t>
  </si>
  <si>
    <t xml:space="preserve">Position Code </t>
  </si>
  <si>
    <t>Division/Department</t>
  </si>
  <si>
    <t xml:space="preserve">SALES AND CUSTOMER DEVELOMENT </t>
  </si>
  <si>
    <t>immediate Superior</t>
  </si>
  <si>
    <t>DON JOHNSON TORAYNO</t>
  </si>
  <si>
    <t>SUCCESS FACTORS INFO FOR ENCODING</t>
  </si>
  <si>
    <t>Employment Status upon Hiring</t>
  </si>
  <si>
    <t># of Guaranteed Months</t>
  </si>
  <si>
    <t>Assigned Work Area</t>
  </si>
  <si>
    <t>Eligibility to Company Car</t>
  </si>
  <si>
    <t>Assigned Shift Schedule</t>
  </si>
  <si>
    <t>INCENTIVIZED</t>
  </si>
  <si>
    <t>Eligibility to Incentives</t>
  </si>
  <si>
    <t>Assigned Work Schedule</t>
  </si>
  <si>
    <t>Eligibility to Transpo Allowance</t>
  </si>
  <si>
    <t>Assigned Swiping Status</t>
  </si>
  <si>
    <t>Eligibility to Annual Bonus</t>
  </si>
  <si>
    <t>Job Classification</t>
  </si>
  <si>
    <t>Eligibility to Hazard Pay/Pharmacist Allowance</t>
  </si>
  <si>
    <t>CANDIDATE'S WORK EXPERIENCE</t>
  </si>
  <si>
    <t>Name of Last Employer</t>
  </si>
  <si>
    <t>Work Experience</t>
  </si>
  <si>
    <t>CASH COMPENSATION PACKAGE</t>
  </si>
  <si>
    <t>Components of Cash Compensation</t>
  </si>
  <si>
    <t>C U R R E N T</t>
  </si>
  <si>
    <t>P R O P O S E D</t>
  </si>
  <si>
    <t>Monthly</t>
  </si>
  <si>
    <t>Annual</t>
  </si>
  <si>
    <t>Remarks</t>
  </si>
  <si>
    <t>Current (Pro-rated)</t>
  </si>
  <si>
    <t>Proposed (Prorated)</t>
  </si>
  <si>
    <t>FIXED COMPONENT (Guaranteed Cash)</t>
  </si>
  <si>
    <t>Monthly Basic Salary (MBS)</t>
  </si>
  <si>
    <t>13th Month Pay (1.00 x MBS)</t>
  </si>
  <si>
    <t>13th month; prorated on first year</t>
  </si>
  <si>
    <t>Other Guaranteed Bonus/es</t>
  </si>
  <si>
    <t>14th and 15th month</t>
  </si>
  <si>
    <t>Fixed Taxable</t>
  </si>
  <si>
    <t>Allowance/s</t>
  </si>
  <si>
    <t>Rice allowance : 2,000/month
Transpo allowance : 90/day per work day</t>
  </si>
  <si>
    <t>VARIABLE COMPONENT (Bonus/es)</t>
  </si>
  <si>
    <t>Fixed Non Taxable</t>
  </si>
  <si>
    <t>Profit Share</t>
  </si>
  <si>
    <t>Entitlement to PS starts on year regularized</t>
  </si>
  <si>
    <t>Incentives/Commmission</t>
  </si>
  <si>
    <t>incentives</t>
  </si>
  <si>
    <t>Performance-Based Bonuses</t>
  </si>
  <si>
    <t>GROSS COMPENSATION</t>
  </si>
  <si>
    <t>% DIFFERENCE IN PAY</t>
  </si>
  <si>
    <t>You may refer to the attached for non-cash compensation/benefit package</t>
  </si>
  <si>
    <t>ANALYSIS ON EQUITY</t>
  </si>
  <si>
    <t>Internal Equity</t>
  </si>
  <si>
    <t>No comparators affected</t>
  </si>
  <si>
    <t>External Equity</t>
  </si>
  <si>
    <t>Between MIN and MID of market-derived salary structure for the level</t>
  </si>
  <si>
    <t xml:space="preserve"> RECRUITMENT CONTACT</t>
  </si>
  <si>
    <t>VALIDATION/APPROVAL</t>
  </si>
  <si>
    <t>Prepared by:</t>
  </si>
  <si>
    <t>Endorsed by:</t>
  </si>
  <si>
    <t>Approved by:</t>
  </si>
  <si>
    <t>Approved by: (as applicable)</t>
  </si>
  <si>
    <t>RMLEE</t>
  </si>
  <si>
    <t>RCL AGUAS</t>
  </si>
  <si>
    <t>Talent Acquisition In Charge</t>
  </si>
  <si>
    <t>Talent Acquisition Head</t>
  </si>
  <si>
    <t>People Experience Head</t>
  </si>
  <si>
    <t>CHRO</t>
  </si>
  <si>
    <t>(REGULAR HIRE) SALARY RECOMMENDATION OPTIONS</t>
  </si>
  <si>
    <t>CANDIDATE</t>
  </si>
  <si>
    <t>CURRENT PACKAGE</t>
  </si>
  <si>
    <t>UL EQUIVALENT</t>
  </si>
  <si>
    <t>OPTIONS</t>
  </si>
  <si>
    <t>Proposed Monthly Basic</t>
  </si>
  <si>
    <t>% Difference in Pay</t>
  </si>
  <si>
    <t># of Affected Incumbents</t>
  </si>
  <si>
    <t>Monthly Basic</t>
  </si>
  <si>
    <t>Total Months Pay</t>
  </si>
  <si>
    <t>Option 1</t>
  </si>
  <si>
    <t xml:space="preserve">Max of S2. </t>
  </si>
  <si>
    <t>Option 2</t>
  </si>
  <si>
    <t>Above max of S2</t>
  </si>
  <si>
    <t>Option 3</t>
  </si>
  <si>
    <t>Unilab equivalent of most recent salary</t>
  </si>
  <si>
    <t>Option 4</t>
  </si>
  <si>
    <t>OPTION 1</t>
  </si>
  <si>
    <t>OPTION 2</t>
  </si>
  <si>
    <t>OPTION 3</t>
  </si>
  <si>
    <t>OPTION 4</t>
  </si>
  <si>
    <t>Allowances</t>
  </si>
  <si>
    <t>% DIFFERENCE  IN PAY</t>
  </si>
  <si>
    <t>Name of Candidate:</t>
  </si>
  <si>
    <t>Position Considered for:</t>
  </si>
  <si>
    <t>Salary Grade:</t>
  </si>
  <si>
    <t>Department/ Division:</t>
  </si>
  <si>
    <t xml:space="preserve">  Company</t>
  </si>
  <si>
    <t>PROPOSED PACKAGE</t>
  </si>
  <si>
    <t>Amount</t>
  </si>
  <si>
    <t>Schedule of Payout</t>
  </si>
  <si>
    <t>Conditions</t>
  </si>
  <si>
    <t>Monthly Base Pay</t>
  </si>
  <si>
    <t>Bonuses</t>
  </si>
  <si>
    <t>13th Month</t>
  </si>
  <si>
    <t>1 month</t>
  </si>
  <si>
    <t xml:space="preserve">The 13th month bonus shall be pro-rated on the first year and computed based on monthly salary at the time of payout. </t>
  </si>
  <si>
    <t>Bayanihan Bonuses</t>
  </si>
  <si>
    <t>half month</t>
  </si>
  <si>
    <t>Minimum of 1 month</t>
  </si>
  <si>
    <t>Profit share shall be pro-rated on the first year and computed based on actual business and individual performance, as well as job level and tenure.  Entitlement shall begin on the applicable performance year when the new employee is regularized.</t>
  </si>
  <si>
    <t>Merit Rating Increase</t>
  </si>
  <si>
    <t>Annual pay-out; Effective January 1 (covering full year performance)</t>
  </si>
  <si>
    <t xml:space="preserve">Entitlement to Merit Rating Increase shall commence on the performance cycle when the new employee is regularized.  Amount shall be computed based on actual business and individual performance, and job level.
If hired and regularized within the same year, MRI will be pro-rated based on hire date.
</t>
  </si>
  <si>
    <t>Tools of the Trade</t>
  </si>
  <si>
    <t>Incentives</t>
  </si>
  <si>
    <t>Performance Bonus</t>
  </si>
  <si>
    <t>Remarks:</t>
  </si>
  <si>
    <t>The Job Offer and hiring of the candidate is subject to Management approval, passing the pre-employment medical exam, and results of the background check.</t>
  </si>
  <si>
    <t>Unilab Confidential.
This material is intended for authorized UNILAB individuals only.  It must not be reproduced in whole or in part, in any form, or by any means without formal agreement with or written consent from the Information Owner.</t>
  </si>
  <si>
    <t>Noted by:</t>
  </si>
  <si>
    <t xml:space="preserve">Talent Acquisition Specialist </t>
  </si>
  <si>
    <t>I understand that the above is conditional upon successfully securing the relevant management approvals and on the Company being satisfied with the results of all pre-employment checks, including but not limited to the pre-employment medical exam, background and reference checks.</t>
  </si>
  <si>
    <t>Acknowledged by:</t>
  </si>
  <si>
    <t>Candidate's name/signature</t>
  </si>
  <si>
    <t>ESFG</t>
  </si>
  <si>
    <t>NON-REGULAR</t>
  </si>
  <si>
    <t>Approved by: (as applicble)</t>
  </si>
  <si>
    <t>RM Lee</t>
  </si>
  <si>
    <t>UPDATE</t>
  </si>
  <si>
    <t>(PROJECT HIRE) SALARY RECOMMENDATION OPTIONS</t>
  </si>
  <si>
    <t xml:space="preserve">  Company: </t>
  </si>
  <si>
    <r>
      <t>15</t>
    </r>
    <r>
      <rPr>
        <vertAlign val="superscript"/>
        <sz val="10"/>
        <color indexed="8"/>
        <rFont val="Arial"/>
        <family val="2"/>
      </rPr>
      <t>th</t>
    </r>
    <r>
      <rPr>
        <sz val="10"/>
        <color indexed="8"/>
        <rFont val="Arial"/>
        <family val="2"/>
      </rPr>
      <t xml:space="preserve"> and end of the month</t>
    </r>
  </si>
  <si>
    <t xml:space="preserve"> Job Offer Sheet - Compensation Package</t>
  </si>
  <si>
    <t>Not entitled to 13th month</t>
  </si>
  <si>
    <t>% DIFFERENCE</t>
  </si>
  <si>
    <t>v.12.2025</t>
  </si>
  <si>
    <t>Professional Fee</t>
  </si>
  <si>
    <t>First Name Last Name 1</t>
  </si>
  <si>
    <t>First Name Last Name 2</t>
  </si>
  <si>
    <t>First Name Last Name 3</t>
  </si>
  <si>
    <t>First Name Last Name 4</t>
  </si>
  <si>
    <t>First Name Last Name 5</t>
  </si>
  <si>
    <t>First Name Last Name 6</t>
  </si>
  <si>
    <t>First Name Last Name 7</t>
  </si>
  <si>
    <t>First Name Last Name 8</t>
  </si>
  <si>
    <t>First Name Last Name 9</t>
  </si>
  <si>
    <t>First Name Last Name 10</t>
  </si>
  <si>
    <t>First Name Last Name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</si>
</sst>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mmmm\ d"/>
  </numFmts>
  <fonts count="85" x14ac:knownFonts="1">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theme="1"/>
      <name val="Calibri"/>
      <family val="2"/>
      <scheme val="minor"/>
    </font>
    <font>
      <b/>
      <sz val="11"/>
      <color theme="1"/>
      <name val="Calibri"/>
      <family val="2"/>
      <scheme val="minor"/>
    </font>
    <font>
      <b/>
      <sz val="12"/>
      <color theme="0"/>
      <name val="Calibri"/>
      <family val="2"/>
    </font>
    <font>
      <b/>
      <sz val="12"/>
      <color indexed="9"/>
      <name val="Calibri"/>
      <family val="2"/>
    </font>
    <font>
      <b/>
      <sz val="12"/>
      <name val="Calibri"/>
      <family val="2"/>
    </font>
    <font>
      <sz val="11"/>
      <name val="Calibri"/>
      <family val="2"/>
      <scheme val="minor"/>
    </font>
    <font>
      <b/>
      <sz val="9"/>
      <name val="Calibri"/>
      <family val="2"/>
    </font>
    <font>
      <sz val="9"/>
      <name val="Calibri"/>
      <family val="2"/>
    </font>
    <font>
      <b/>
      <sz val="10"/>
      <color indexed="9"/>
      <name val="Calibri"/>
      <family val="2"/>
    </font>
    <font>
      <b/>
      <sz val="9"/>
      <color indexed="9"/>
      <name val="Calibri"/>
      <family val="2"/>
    </font>
    <font>
      <sz val="11"/>
      <color theme="0" tint="-0.34998626667073579"/>
      <name val="Calibri"/>
      <family val="2"/>
      <scheme val="minor"/>
    </font>
    <font>
      <b/>
      <sz val="8"/>
      <name val="Calibri"/>
      <family val="2"/>
    </font>
    <font>
      <i/>
      <sz val="8"/>
      <name val="Calibri"/>
      <family val="2"/>
    </font>
    <font>
      <b/>
      <sz val="9"/>
      <color rgb="FFFF0000"/>
      <name val="Calibri"/>
      <family val="2"/>
    </font>
    <font>
      <b/>
      <sz val="9"/>
      <color theme="0"/>
      <name val="Calibri"/>
      <family val="2"/>
    </font>
    <font>
      <b/>
      <sz val="10"/>
      <color indexed="13"/>
      <name val="Calibri"/>
      <family val="2"/>
    </font>
    <font>
      <sz val="7"/>
      <name val="Calibri"/>
      <family val="2"/>
    </font>
    <font>
      <b/>
      <sz val="7"/>
      <name val="Calibri"/>
      <family val="2"/>
    </font>
    <font>
      <sz val="9"/>
      <name val="Arial"/>
      <family val="2"/>
    </font>
    <font>
      <b/>
      <sz val="9"/>
      <color indexed="8"/>
      <name val="Calibri"/>
      <family val="2"/>
    </font>
    <font>
      <sz val="8"/>
      <name val="Calibri"/>
      <family val="2"/>
    </font>
    <font>
      <sz val="10"/>
      <color theme="1"/>
      <name val="Calibri"/>
      <family val="2"/>
      <scheme val="minor"/>
    </font>
    <font>
      <b/>
      <sz val="10"/>
      <color rgb="FFFFFFFF"/>
      <name val="Calibri"/>
      <family val="2"/>
    </font>
    <font>
      <sz val="10"/>
      <color rgb="FF000000"/>
      <name val="Calibri"/>
      <family val="2"/>
    </font>
    <font>
      <sz val="10"/>
      <name val="Calibri"/>
      <family val="2"/>
    </font>
    <font>
      <b/>
      <sz val="10"/>
      <name val="Calibri"/>
      <family val="2"/>
    </font>
    <font>
      <b/>
      <i/>
      <sz val="10"/>
      <name val="Calibri"/>
      <family val="2"/>
    </font>
    <font>
      <i/>
      <sz val="10"/>
      <name val="Calibri"/>
      <family val="2"/>
    </font>
    <font>
      <b/>
      <sz val="9"/>
      <color theme="0"/>
      <name val="Calibri"/>
      <family val="2"/>
      <scheme val="minor"/>
    </font>
    <font>
      <sz val="9"/>
      <color theme="1"/>
      <name val="Calibri"/>
      <family val="2"/>
      <scheme val="minor"/>
    </font>
    <font>
      <b/>
      <sz val="10"/>
      <color theme="1"/>
      <name val="Calibri"/>
      <family val="2"/>
      <scheme val="minor"/>
    </font>
    <font>
      <b/>
      <sz val="12"/>
      <color theme="0"/>
      <name val="Arial"/>
      <family val="2"/>
    </font>
    <font>
      <b/>
      <sz val="16"/>
      <color theme="1" tint="4.9989318521683403E-2"/>
      <name val="Arial"/>
      <family val="2"/>
    </font>
    <font>
      <b/>
      <sz val="11"/>
      <color theme="1" tint="4.9989318521683403E-2"/>
      <name val="Arial"/>
      <family val="2"/>
    </font>
    <font>
      <b/>
      <sz val="10"/>
      <color theme="0"/>
      <name val="Arial"/>
      <family val="2"/>
    </font>
    <font>
      <b/>
      <sz val="11"/>
      <name val="Arial Black"/>
      <family val="2"/>
    </font>
    <font>
      <b/>
      <sz val="10"/>
      <color indexed="16"/>
      <name val="Arial"/>
      <family val="2"/>
    </font>
    <font>
      <b/>
      <sz val="10"/>
      <name val="Arial"/>
      <family val="2"/>
    </font>
    <font>
      <b/>
      <u/>
      <sz val="10"/>
      <name val="Arial"/>
      <family val="2"/>
    </font>
    <font>
      <sz val="10"/>
      <color theme="1"/>
      <name val="Arial"/>
      <family val="2"/>
    </font>
    <font>
      <vertAlign val="superscript"/>
      <sz val="10"/>
      <color indexed="8"/>
      <name val="Arial"/>
      <family val="2"/>
    </font>
    <font>
      <sz val="10"/>
      <color indexed="8"/>
      <name val="Arial"/>
      <family val="2"/>
    </font>
    <font>
      <i/>
      <sz val="10"/>
      <name val="Arial"/>
      <family val="2"/>
    </font>
    <font>
      <sz val="8"/>
      <name val="Arial"/>
      <family val="2"/>
    </font>
    <font>
      <b/>
      <u/>
      <sz val="9"/>
      <name val="Arial"/>
      <family val="2"/>
    </font>
    <font>
      <b/>
      <sz val="11"/>
      <name val="Arial"/>
      <family val="2"/>
    </font>
    <font>
      <b/>
      <i/>
      <sz val="8"/>
      <name val="Arial"/>
      <family val="2"/>
    </font>
    <font>
      <i/>
      <sz val="8"/>
      <name val="Arial"/>
      <family val="2"/>
    </font>
    <font>
      <b/>
      <sz val="8"/>
      <color theme="0" tint="-0.499984740745262"/>
      <name val="Arial"/>
      <family val="2"/>
    </font>
    <font>
      <b/>
      <u/>
      <sz val="11"/>
      <color theme="1"/>
      <name val="Calibri"/>
      <family val="2"/>
      <scheme val="minor"/>
    </font>
    <font>
      <b/>
      <sz val="9"/>
      <name val="Calibri"/>
      <family val="2"/>
      <scheme val="minor"/>
    </font>
    <font>
      <b/>
      <i/>
      <sz val="11"/>
      <color rgb="FF002060"/>
      <name val="Calibri"/>
      <family val="2"/>
      <scheme val="minor"/>
    </font>
    <font>
      <b/>
      <i/>
      <sz val="9"/>
      <name val="Calibri"/>
      <family val="2"/>
    </font>
    <font>
      <b/>
      <i/>
      <sz val="9"/>
      <color rgb="FFFF0000"/>
      <name val="Calibri"/>
      <family val="2"/>
    </font>
    <font>
      <i/>
      <sz val="9"/>
      <color indexed="8"/>
      <name val="Calibri"/>
      <family val="2"/>
    </font>
    <font>
      <sz val="9"/>
      <color indexed="8"/>
      <name val="Calibri"/>
      <family val="2"/>
    </font>
    <font>
      <sz val="9"/>
      <name val="Calibri"/>
      <family val="2"/>
      <scheme val="minor"/>
    </font>
    <font>
      <sz val="10"/>
      <color rgb="FFFF0000"/>
      <name val="Arial"/>
      <family val="2"/>
    </font>
    <font>
      <b/>
      <sz val="12"/>
      <color theme="0"/>
      <name val="Calibri"/>
      <family val="2"/>
      <scheme val="minor"/>
    </font>
    <font>
      <b/>
      <sz val="12"/>
      <name val="Calibri"/>
      <family val="2"/>
      <scheme val="minor"/>
    </font>
    <font>
      <b/>
      <sz val="10"/>
      <color indexed="9"/>
      <name val="Calibri"/>
      <family val="2"/>
      <scheme val="minor"/>
    </font>
    <font>
      <b/>
      <sz val="9"/>
      <color indexed="9"/>
      <name val="Calibri"/>
      <family val="2"/>
      <scheme val="minor"/>
    </font>
    <font>
      <b/>
      <sz val="9"/>
      <color theme="1"/>
      <name val="Calibri"/>
      <family val="2"/>
      <scheme val="minor"/>
    </font>
    <font>
      <b/>
      <sz val="9"/>
      <color rgb="FFFF0000"/>
      <name val="Calibri"/>
      <family val="2"/>
      <scheme val="minor"/>
    </font>
    <font>
      <b/>
      <i/>
      <sz val="9"/>
      <name val="Calibri"/>
      <family val="2"/>
      <scheme val="minor"/>
    </font>
    <font>
      <b/>
      <sz val="9"/>
      <color rgb="FF000000"/>
      <name val="Calibri"/>
      <family val="2"/>
      <scheme val="minor"/>
    </font>
    <font>
      <b/>
      <i/>
      <sz val="9"/>
      <color rgb="FFFF0000"/>
      <name val="Calibri"/>
      <family val="2"/>
      <scheme val="minor"/>
    </font>
    <font>
      <i/>
      <sz val="9"/>
      <color indexed="8"/>
      <name val="Calibri"/>
      <family val="2"/>
      <scheme val="minor"/>
    </font>
    <font>
      <sz val="9"/>
      <color indexed="8"/>
      <name val="Calibri"/>
      <family val="2"/>
      <scheme val="minor"/>
    </font>
    <font>
      <b/>
      <sz val="8"/>
      <name val="Calibri"/>
      <family val="2"/>
      <scheme val="minor"/>
    </font>
    <font>
      <i/>
      <sz val="8"/>
      <name val="Calibri"/>
      <family val="2"/>
      <scheme val="minor"/>
    </font>
    <font>
      <b/>
      <sz val="10"/>
      <color indexed="13"/>
      <name val="Calibri"/>
      <family val="2"/>
      <scheme val="minor"/>
    </font>
    <font>
      <sz val="7"/>
      <name val="Calibri"/>
      <family val="2"/>
      <scheme val="minor"/>
    </font>
    <font>
      <sz val="7"/>
      <color rgb="FF000000"/>
      <name val="Calibri"/>
      <family val="2"/>
      <scheme val="minor"/>
    </font>
    <font>
      <sz val="10"/>
      <name val="Calibri"/>
      <family val="2"/>
      <scheme val="minor"/>
    </font>
    <font>
      <b/>
      <sz val="9"/>
      <color indexed="8"/>
      <name val="Calibri"/>
      <family val="2"/>
      <scheme val="minor"/>
    </font>
    <font>
      <sz val="8"/>
      <name val="Calibri"/>
      <family val="2"/>
      <scheme val="minor"/>
    </font>
    <font>
      <sz val="9"/>
      <color rgb="FFFF0000"/>
      <name val="Calibri"/>
      <family val="2"/>
    </font>
    <font>
      <sz val="10"/>
      <color rgb="FF000000"/>
      <name val="Arial"/>
      <family val="2"/>
    </font>
    <font>
      <sz val="11"/>
      <color rgb="FF242424"/>
      <name val="Aptos Narrow"/>
      <family val="2"/>
    </font>
    <font>
      <b/>
      <sz val="8"/>
      <color rgb="FFFF0000"/>
      <name val="Calibri"/>
      <family val="2"/>
      <scheme val="minor"/>
    </font>
  </fonts>
  <fills count="1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4" tint="0.79998168889431442"/>
        <bgColor indexed="64"/>
      </patternFill>
    </fill>
    <fill>
      <patternFill patternType="solid">
        <fgColor indexed="31"/>
        <bgColor indexed="64"/>
      </patternFill>
    </fill>
    <fill>
      <patternFill patternType="solid">
        <fgColor indexed="9"/>
        <bgColor indexed="64"/>
      </patternFill>
    </fill>
    <fill>
      <patternFill patternType="solid">
        <fgColor indexed="26"/>
        <bgColor indexed="64"/>
      </patternFill>
    </fill>
    <fill>
      <patternFill patternType="solid">
        <fgColor rgb="FF002060"/>
        <bgColor indexed="64"/>
      </patternFill>
    </fill>
    <fill>
      <patternFill patternType="solid">
        <fgColor theme="9"/>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7030A0"/>
        <bgColor indexed="64"/>
      </patternFill>
    </fill>
  </fills>
  <borders count="254">
    <border>
      <left/>
      <right/>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theme="3"/>
      </left>
      <right/>
      <top/>
      <bottom/>
      <diagonal/>
    </border>
    <border>
      <left/>
      <right style="medium">
        <color theme="3"/>
      </right>
      <top/>
      <bottom/>
      <diagonal/>
    </border>
    <border>
      <left style="thin">
        <color theme="3"/>
      </left>
      <right style="thin">
        <color theme="3"/>
      </right>
      <top style="thin">
        <color theme="3"/>
      </top>
      <bottom style="thin">
        <color theme="3"/>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24"/>
      </left>
      <right/>
      <top style="thin">
        <color indexed="24"/>
      </top>
      <bottom style="thin">
        <color indexed="24"/>
      </bottom>
      <diagonal/>
    </border>
    <border>
      <left/>
      <right/>
      <top style="thin">
        <color indexed="24"/>
      </top>
      <bottom style="thin">
        <color indexed="24"/>
      </bottom>
      <diagonal/>
    </border>
    <border>
      <left/>
      <right style="medium">
        <color theme="3"/>
      </right>
      <top style="thin">
        <color indexed="24"/>
      </top>
      <bottom style="thin">
        <color indexed="24"/>
      </bottom>
      <diagonal/>
    </border>
    <border>
      <left/>
      <right/>
      <top/>
      <bottom style="thin">
        <color indexed="24"/>
      </bottom>
      <diagonal/>
    </border>
    <border>
      <left style="medium">
        <color theme="3"/>
      </left>
      <right style="thick">
        <color indexed="9"/>
      </right>
      <top style="medium">
        <color theme="3"/>
      </top>
      <bottom style="thick">
        <color indexed="9"/>
      </bottom>
      <diagonal/>
    </border>
    <border>
      <left style="thick">
        <color indexed="9"/>
      </left>
      <right style="thick">
        <color indexed="9"/>
      </right>
      <top style="medium">
        <color theme="3"/>
      </top>
      <bottom style="thick">
        <color indexed="9"/>
      </bottom>
      <diagonal/>
    </border>
    <border>
      <left style="thick">
        <color indexed="9"/>
      </left>
      <right style="medium">
        <color theme="3"/>
      </right>
      <top style="medium">
        <color theme="3"/>
      </top>
      <bottom style="thick">
        <color indexed="9"/>
      </bottom>
      <diagonal/>
    </border>
    <border>
      <left style="medium">
        <color theme="3"/>
      </left>
      <right style="thick">
        <color indexed="9"/>
      </right>
      <top style="thick">
        <color indexed="9"/>
      </top>
      <bottom/>
      <diagonal/>
    </border>
    <border>
      <left style="thick">
        <color indexed="9"/>
      </left>
      <right style="thick">
        <color indexed="9"/>
      </right>
      <top style="thick">
        <color indexed="9"/>
      </top>
      <bottom/>
      <diagonal/>
    </border>
    <border>
      <left style="thick">
        <color indexed="9"/>
      </left>
      <right style="medium">
        <color theme="3"/>
      </right>
      <top style="thick">
        <color indexed="9"/>
      </top>
      <bottom/>
      <diagonal/>
    </border>
    <border>
      <left style="medium">
        <color theme="3"/>
      </left>
      <right/>
      <top style="thick">
        <color indexed="9"/>
      </top>
      <bottom/>
      <diagonal/>
    </border>
    <border>
      <left style="medium">
        <color theme="3"/>
      </left>
      <right/>
      <top style="medium">
        <color theme="4" tint="0.39991454817346722"/>
      </top>
      <bottom style="medium">
        <color theme="4" tint="0.39994506668294322"/>
      </bottom>
      <diagonal/>
    </border>
    <border>
      <left/>
      <right/>
      <top style="medium">
        <color theme="4" tint="0.39991454817346722"/>
      </top>
      <bottom style="medium">
        <color theme="4" tint="0.39994506668294322"/>
      </bottom>
      <diagonal/>
    </border>
    <border>
      <left/>
      <right style="medium">
        <color theme="4" tint="0.39991454817346722"/>
      </right>
      <top style="medium">
        <color theme="4" tint="0.39991454817346722"/>
      </top>
      <bottom style="medium">
        <color theme="4" tint="0.39994506668294322"/>
      </bottom>
      <diagonal/>
    </border>
    <border>
      <left style="medium">
        <color indexed="24"/>
      </left>
      <right/>
      <top style="medium">
        <color indexed="24"/>
      </top>
      <bottom/>
      <diagonal/>
    </border>
    <border>
      <left/>
      <right/>
      <top style="medium">
        <color indexed="24"/>
      </top>
      <bottom/>
      <diagonal/>
    </border>
    <border>
      <left/>
      <right style="medium">
        <color theme="3"/>
      </right>
      <top style="medium">
        <color indexed="24"/>
      </top>
      <bottom/>
      <diagonal/>
    </border>
    <border>
      <left style="medium">
        <color theme="3"/>
      </left>
      <right style="thin">
        <color theme="4" tint="0.39991454817346722"/>
      </right>
      <top style="medium">
        <color theme="4" tint="0.39994506668294322"/>
      </top>
      <bottom style="thin">
        <color theme="4" tint="0.39991454817346722"/>
      </bottom>
      <diagonal/>
    </border>
    <border>
      <left style="thin">
        <color theme="4" tint="0.39991454817346722"/>
      </left>
      <right style="thin">
        <color theme="4" tint="0.39991454817346722"/>
      </right>
      <top style="medium">
        <color theme="4" tint="0.39994506668294322"/>
      </top>
      <bottom style="thin">
        <color theme="4" tint="0.39991454817346722"/>
      </bottom>
      <diagonal/>
    </border>
    <border>
      <left style="thin">
        <color theme="4" tint="0.39991454817346722"/>
      </left>
      <right style="medium">
        <color theme="4" tint="0.39991454817346722"/>
      </right>
      <top style="medium">
        <color theme="4" tint="0.39994506668294322"/>
      </top>
      <bottom style="thin">
        <color theme="4" tint="0.39991454817346722"/>
      </bottom>
      <diagonal/>
    </border>
    <border>
      <left style="medium">
        <color indexed="24"/>
      </left>
      <right style="thin">
        <color indexed="24"/>
      </right>
      <top style="medium">
        <color indexed="24"/>
      </top>
      <bottom style="thin">
        <color indexed="24"/>
      </bottom>
      <diagonal/>
    </border>
    <border>
      <left style="thin">
        <color indexed="24"/>
      </left>
      <right style="thin">
        <color indexed="24"/>
      </right>
      <top style="medium">
        <color indexed="24"/>
      </top>
      <bottom style="thin">
        <color indexed="24"/>
      </bottom>
      <diagonal/>
    </border>
    <border>
      <left style="thin">
        <color indexed="24"/>
      </left>
      <right style="medium">
        <color theme="3"/>
      </right>
      <top style="medium">
        <color indexed="24"/>
      </top>
      <bottom style="thin">
        <color indexed="24"/>
      </bottom>
      <diagonal/>
    </border>
    <border>
      <left style="medium">
        <color theme="3"/>
      </left>
      <right style="thin">
        <color theme="4" tint="0.39991454817346722"/>
      </right>
      <top style="thin">
        <color theme="4" tint="0.39991454817346722"/>
      </top>
      <bottom style="thin">
        <color theme="4" tint="0.39991454817346722"/>
      </bottom>
      <diagonal/>
    </border>
    <border>
      <left style="thin">
        <color theme="4" tint="0.39991454817346722"/>
      </left>
      <right style="thin">
        <color theme="4" tint="0.39991454817346722"/>
      </right>
      <top style="thin">
        <color theme="4" tint="0.39991454817346722"/>
      </top>
      <bottom style="thin">
        <color theme="4" tint="0.39991454817346722"/>
      </bottom>
      <diagonal/>
    </border>
    <border>
      <left style="thin">
        <color theme="4" tint="0.39991454817346722"/>
      </left>
      <right style="medium">
        <color theme="3" tint="0.59996337778862885"/>
      </right>
      <top style="thin">
        <color theme="4" tint="0.39991454817346722"/>
      </top>
      <bottom style="thin">
        <color theme="4" tint="0.39991454817346722"/>
      </bottom>
      <diagonal/>
    </border>
    <border>
      <left style="medium">
        <color indexed="24"/>
      </left>
      <right style="thin">
        <color indexed="24"/>
      </right>
      <top style="thin">
        <color indexed="24"/>
      </top>
      <bottom style="thin">
        <color indexed="24"/>
      </bottom>
      <diagonal/>
    </border>
    <border>
      <left style="thin">
        <color indexed="24"/>
      </left>
      <right style="thin">
        <color indexed="24"/>
      </right>
      <top style="thin">
        <color indexed="24"/>
      </top>
      <bottom style="thin">
        <color indexed="24"/>
      </bottom>
      <diagonal/>
    </border>
    <border>
      <left style="thin">
        <color indexed="24"/>
      </left>
      <right style="medium">
        <color theme="3"/>
      </right>
      <top style="thin">
        <color indexed="24"/>
      </top>
      <bottom style="thin">
        <color indexed="24"/>
      </bottom>
      <diagonal/>
    </border>
    <border>
      <left style="medium">
        <color theme="3"/>
      </left>
      <right/>
      <top style="medium">
        <color theme="3" tint="0.59996337778862885"/>
      </top>
      <bottom style="medium">
        <color theme="3" tint="0.59996337778862885"/>
      </bottom>
      <diagonal/>
    </border>
    <border>
      <left/>
      <right/>
      <top style="medium">
        <color theme="3" tint="0.59996337778862885"/>
      </top>
      <bottom style="medium">
        <color theme="3" tint="0.59996337778862885"/>
      </bottom>
      <diagonal/>
    </border>
    <border>
      <left/>
      <right style="medium">
        <color theme="3" tint="0.59996337778862885"/>
      </right>
      <top style="medium">
        <color theme="3" tint="0.59996337778862885"/>
      </top>
      <bottom style="medium">
        <color theme="3" tint="0.59996337778862885"/>
      </bottom>
      <diagonal/>
    </border>
    <border>
      <left style="medium">
        <color indexed="24"/>
      </left>
      <right/>
      <top style="medium">
        <color indexed="24"/>
      </top>
      <bottom style="medium">
        <color indexed="24"/>
      </bottom>
      <diagonal/>
    </border>
    <border>
      <left/>
      <right/>
      <top style="medium">
        <color indexed="24"/>
      </top>
      <bottom style="medium">
        <color indexed="24"/>
      </bottom>
      <diagonal/>
    </border>
    <border>
      <left/>
      <right style="medium">
        <color theme="3"/>
      </right>
      <top style="medium">
        <color indexed="24"/>
      </top>
      <bottom style="medium">
        <color indexed="24"/>
      </bottom>
      <diagonal/>
    </border>
    <border>
      <left style="medium">
        <color theme="3"/>
      </left>
      <right style="thin">
        <color theme="3" tint="0.59996337778862885"/>
      </right>
      <top style="thin">
        <color theme="3" tint="0.59996337778862885"/>
      </top>
      <bottom style="thin">
        <color theme="3" tint="0.59996337778862885"/>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style="medium">
        <color theme="3" tint="0.59996337778862885"/>
      </right>
      <top style="thin">
        <color theme="3" tint="0.59996337778862885"/>
      </top>
      <bottom style="thin">
        <color theme="3" tint="0.59996337778862885"/>
      </bottom>
      <diagonal/>
    </border>
    <border>
      <left style="medium">
        <color indexed="24"/>
      </left>
      <right/>
      <top/>
      <bottom style="thin">
        <color indexed="24"/>
      </bottom>
      <diagonal/>
    </border>
    <border>
      <left style="thin">
        <color indexed="24"/>
      </left>
      <right style="thin">
        <color indexed="24"/>
      </right>
      <top/>
      <bottom style="thin">
        <color indexed="24"/>
      </bottom>
      <diagonal/>
    </border>
    <border>
      <left style="thin">
        <color indexed="24"/>
      </left>
      <right style="medium">
        <color theme="3"/>
      </right>
      <top/>
      <bottom style="thin">
        <color indexed="24"/>
      </bottom>
      <diagonal/>
    </border>
    <border>
      <left style="medium">
        <color theme="3"/>
      </left>
      <right style="thin">
        <color theme="3" tint="0.59996337778862885"/>
      </right>
      <top style="thin">
        <color theme="3" tint="0.59996337778862885"/>
      </top>
      <bottom style="medium">
        <color indexed="24"/>
      </bottom>
      <diagonal/>
    </border>
    <border>
      <left style="thin">
        <color theme="3" tint="0.59996337778862885"/>
      </left>
      <right style="thin">
        <color theme="3" tint="0.59996337778862885"/>
      </right>
      <top style="thin">
        <color theme="3" tint="0.59996337778862885"/>
      </top>
      <bottom style="medium">
        <color indexed="24"/>
      </bottom>
      <diagonal/>
    </border>
    <border>
      <left style="thin">
        <color theme="3" tint="0.59996337778862885"/>
      </left>
      <right style="medium">
        <color theme="3" tint="0.59996337778862885"/>
      </right>
      <top style="thin">
        <color theme="3" tint="0.59996337778862885"/>
      </top>
      <bottom style="medium">
        <color indexed="24"/>
      </bottom>
      <diagonal/>
    </border>
    <border>
      <left style="medium">
        <color indexed="24"/>
      </left>
      <right/>
      <top style="thin">
        <color indexed="24"/>
      </top>
      <bottom style="thin">
        <color indexed="24"/>
      </bottom>
      <diagonal/>
    </border>
    <border>
      <left style="medium">
        <color indexed="24"/>
      </left>
      <right style="medium">
        <color indexed="24"/>
      </right>
      <top style="medium">
        <color indexed="24"/>
      </top>
      <bottom style="medium">
        <color indexed="24"/>
      </bottom>
      <diagonal/>
    </border>
    <border>
      <left/>
      <right style="medium">
        <color indexed="24"/>
      </right>
      <top style="medium">
        <color indexed="24"/>
      </top>
      <bottom style="medium">
        <color indexed="24"/>
      </bottom>
      <diagonal/>
    </border>
    <border>
      <left style="medium">
        <color indexed="51"/>
      </left>
      <right style="medium">
        <color indexed="51"/>
      </right>
      <top style="medium">
        <color indexed="51"/>
      </top>
      <bottom style="medium">
        <color indexed="51"/>
      </bottom>
      <diagonal/>
    </border>
    <border>
      <left style="medium">
        <color indexed="51"/>
      </left>
      <right/>
      <top style="medium">
        <color indexed="51"/>
      </top>
      <bottom style="medium">
        <color indexed="51"/>
      </bottom>
      <diagonal/>
    </border>
    <border>
      <left style="medium">
        <color theme="3"/>
      </left>
      <right style="thin">
        <color theme="3"/>
      </right>
      <top style="thin">
        <color theme="3"/>
      </top>
      <bottom style="thin">
        <color theme="3"/>
      </bottom>
      <diagonal/>
    </border>
    <border>
      <left style="thin">
        <color theme="3"/>
      </left>
      <right style="medium">
        <color theme="3"/>
      </right>
      <top style="thin">
        <color theme="3"/>
      </top>
      <bottom style="thin">
        <color theme="3"/>
      </bottom>
      <diagonal/>
    </border>
    <border>
      <left style="medium">
        <color theme="3"/>
      </left>
      <right style="medium">
        <color theme="3"/>
      </right>
      <top style="medium">
        <color theme="3"/>
      </top>
      <bottom style="medium">
        <color theme="3"/>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theme="3"/>
      </top>
      <bottom style="thin">
        <color theme="0"/>
      </bottom>
      <diagonal/>
    </border>
    <border>
      <left/>
      <right style="medium">
        <color theme="3"/>
      </right>
      <top style="medium">
        <color theme="3"/>
      </top>
      <bottom style="thin">
        <color theme="0"/>
      </bottom>
      <diagonal/>
    </border>
    <border>
      <left/>
      <right/>
      <top style="thin">
        <color theme="0"/>
      </top>
      <bottom style="thin">
        <color theme="0"/>
      </bottom>
      <diagonal/>
    </border>
    <border>
      <left/>
      <right style="medium">
        <color theme="3"/>
      </right>
      <top style="thin">
        <color theme="0"/>
      </top>
      <bottom style="thin">
        <color theme="0"/>
      </bottom>
      <diagonal/>
    </border>
    <border>
      <left style="thick">
        <color theme="0"/>
      </left>
      <right style="medium">
        <color theme="3"/>
      </right>
      <top style="medium">
        <color theme="3"/>
      </top>
      <bottom style="medium">
        <color theme="3"/>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theme="3" tint="0.59996337778862885"/>
      </left>
      <right/>
      <top style="medium">
        <color theme="3" tint="0.59996337778862885"/>
      </top>
      <bottom style="thick">
        <color indexed="9"/>
      </bottom>
      <diagonal/>
    </border>
    <border>
      <left/>
      <right/>
      <top style="medium">
        <color theme="3" tint="0.59996337778862885"/>
      </top>
      <bottom style="thick">
        <color indexed="9"/>
      </bottom>
      <diagonal/>
    </border>
    <border>
      <left/>
      <right style="medium">
        <color theme="3" tint="0.59996337778862885"/>
      </right>
      <top style="medium">
        <color theme="3" tint="0.59996337778862885"/>
      </top>
      <bottom style="thick">
        <color indexed="9"/>
      </bottom>
      <diagonal/>
    </border>
    <border>
      <left style="medium">
        <color theme="3" tint="0.59996337778862885"/>
      </left>
      <right/>
      <top style="thick">
        <color indexed="9"/>
      </top>
      <bottom/>
      <diagonal/>
    </border>
    <border>
      <left style="thick">
        <color indexed="9"/>
      </left>
      <right/>
      <top style="thick">
        <color indexed="9"/>
      </top>
      <bottom style="medium">
        <color indexed="24"/>
      </bottom>
      <diagonal/>
    </border>
    <border>
      <left style="medium">
        <color theme="3" tint="0.59996337778862885"/>
      </left>
      <right/>
      <top style="medium">
        <color indexed="24"/>
      </top>
      <bottom/>
      <diagonal/>
    </border>
    <border>
      <left style="medium">
        <color theme="3" tint="0.59996337778862885"/>
      </left>
      <right style="thin">
        <color indexed="24"/>
      </right>
      <top style="medium">
        <color indexed="24"/>
      </top>
      <bottom style="thin">
        <color indexed="24"/>
      </bottom>
      <diagonal/>
    </border>
    <border>
      <left style="thin">
        <color indexed="24"/>
      </left>
      <right/>
      <top style="medium">
        <color indexed="24"/>
      </top>
      <bottom style="thin">
        <color indexed="24"/>
      </bottom>
      <diagonal/>
    </border>
    <border>
      <left style="medium">
        <color theme="3" tint="0.59996337778862885"/>
      </left>
      <right style="thin">
        <color indexed="24"/>
      </right>
      <top style="thin">
        <color indexed="24"/>
      </top>
      <bottom style="thin">
        <color indexed="24"/>
      </bottom>
      <diagonal/>
    </border>
    <border>
      <left style="medium">
        <color theme="3" tint="0.59996337778862885"/>
      </left>
      <right/>
      <top/>
      <bottom style="thin">
        <color indexed="24"/>
      </bottom>
      <diagonal/>
    </border>
    <border>
      <left style="medium">
        <color theme="3" tint="0.59996337778862885"/>
      </left>
      <right/>
      <top style="medium">
        <color indexed="24"/>
      </top>
      <bottom style="medium">
        <color indexed="24"/>
      </bottom>
      <diagonal/>
    </border>
    <border>
      <left style="medium">
        <color theme="3" tint="0.59996337778862885"/>
      </left>
      <right/>
      <top style="thin">
        <color indexed="24"/>
      </top>
      <bottom style="thin">
        <color indexed="24"/>
      </bottom>
      <diagonal/>
    </border>
    <border>
      <left style="medium">
        <color theme="3" tint="0.59996337778862885"/>
      </left>
      <right style="medium">
        <color indexed="24"/>
      </right>
      <top style="medium">
        <color indexed="24"/>
      </top>
      <bottom style="medium">
        <color indexed="2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style="medium">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medium">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51"/>
      </right>
      <top style="medium">
        <color indexed="51"/>
      </top>
      <bottom style="medium">
        <color indexed="51"/>
      </bottom>
      <diagonal/>
    </border>
    <border>
      <left/>
      <right style="thick">
        <color theme="0"/>
      </right>
      <top style="medium">
        <color theme="3"/>
      </top>
      <bottom style="medium">
        <color theme="3"/>
      </bottom>
      <diagonal/>
    </border>
    <border>
      <left style="thin">
        <color theme="4" tint="0.39991454817346722"/>
      </left>
      <right/>
      <top style="thin">
        <color theme="4" tint="0.39991454817346722"/>
      </top>
      <bottom style="thin">
        <color theme="4" tint="0.39991454817346722"/>
      </bottom>
      <diagonal/>
    </border>
    <border>
      <left style="thin">
        <color theme="4" tint="0.39991454817346722"/>
      </left>
      <right style="thin">
        <color theme="4" tint="0.39991454817346722"/>
      </right>
      <top style="thin">
        <color theme="4" tint="0.39991454817346722"/>
      </top>
      <bottom/>
      <diagonal/>
    </border>
    <border>
      <left style="thin">
        <color theme="4" tint="0.39991454817346722"/>
      </left>
      <right style="medium">
        <color theme="4" tint="0.39991454817346722"/>
      </right>
      <top style="thin">
        <color theme="4" tint="0.39991454817346722"/>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theme="3"/>
      </bottom>
      <diagonal/>
    </border>
    <border>
      <left/>
      <right style="medium">
        <color rgb="FF000000"/>
      </right>
      <top/>
      <bottom style="medium">
        <color theme="3"/>
      </bottom>
      <diagonal/>
    </border>
    <border>
      <left style="medium">
        <color rgb="FF000000"/>
      </left>
      <right/>
      <top/>
      <bottom/>
      <diagonal/>
    </border>
    <border>
      <left/>
      <right style="medium">
        <color rgb="FF000000"/>
      </right>
      <top/>
      <bottom/>
      <diagonal/>
    </border>
    <border>
      <left style="medium">
        <color rgb="FF000000"/>
      </left>
      <right/>
      <top style="medium">
        <color theme="3"/>
      </top>
      <bottom style="medium">
        <color theme="3"/>
      </bottom>
      <diagonal/>
    </border>
    <border>
      <left/>
      <right style="medium">
        <color rgb="FF000000"/>
      </right>
      <top style="medium">
        <color theme="3"/>
      </top>
      <bottom style="medium">
        <color theme="3"/>
      </bottom>
      <diagonal/>
    </border>
    <border>
      <left style="medium">
        <color rgb="FF000000"/>
      </left>
      <right style="thick">
        <color indexed="9"/>
      </right>
      <top style="medium">
        <color theme="3"/>
      </top>
      <bottom style="thick">
        <color indexed="9"/>
      </bottom>
      <diagonal/>
    </border>
    <border>
      <left style="thick">
        <color indexed="9"/>
      </left>
      <right style="medium">
        <color rgb="FF000000"/>
      </right>
      <top style="medium">
        <color theme="3"/>
      </top>
      <bottom style="thick">
        <color indexed="9"/>
      </bottom>
      <diagonal/>
    </border>
    <border>
      <left style="medium">
        <color rgb="FF000000"/>
      </left>
      <right style="thick">
        <color indexed="9"/>
      </right>
      <top style="thick">
        <color indexed="9"/>
      </top>
      <bottom/>
      <diagonal/>
    </border>
    <border>
      <left style="thick">
        <color indexed="9"/>
      </left>
      <right style="medium">
        <color rgb="FF000000"/>
      </right>
      <top style="thick">
        <color indexed="9"/>
      </top>
      <bottom/>
      <diagonal/>
    </border>
    <border>
      <left style="medium">
        <color rgb="FF000000"/>
      </left>
      <right/>
      <top style="medium">
        <color theme="4" tint="0.39991454817346722"/>
      </top>
      <bottom style="medium">
        <color theme="4" tint="0.39994506668294322"/>
      </bottom>
      <diagonal/>
    </border>
    <border>
      <left/>
      <right style="medium">
        <color rgb="FF000000"/>
      </right>
      <top style="medium">
        <color indexed="24"/>
      </top>
      <bottom/>
      <diagonal/>
    </border>
    <border>
      <left style="medium">
        <color rgb="FF000000"/>
      </left>
      <right style="thin">
        <color theme="4" tint="0.39991454817346722"/>
      </right>
      <top style="medium">
        <color theme="4" tint="0.39994506668294322"/>
      </top>
      <bottom style="thin">
        <color theme="4" tint="0.39991454817346722"/>
      </bottom>
      <diagonal/>
    </border>
    <border>
      <left style="thin">
        <color indexed="24"/>
      </left>
      <right style="medium">
        <color rgb="FF000000"/>
      </right>
      <top style="medium">
        <color indexed="24"/>
      </top>
      <bottom style="thin">
        <color indexed="24"/>
      </bottom>
      <diagonal/>
    </border>
    <border>
      <left style="medium">
        <color rgb="FF000000"/>
      </left>
      <right style="thin">
        <color theme="4" tint="0.39991454817346722"/>
      </right>
      <top style="thin">
        <color theme="4" tint="0.39991454817346722"/>
      </top>
      <bottom style="thin">
        <color theme="4" tint="0.39991454817346722"/>
      </bottom>
      <diagonal/>
    </border>
    <border>
      <left style="thin">
        <color indexed="24"/>
      </left>
      <right style="medium">
        <color rgb="FF000000"/>
      </right>
      <top style="thin">
        <color indexed="24"/>
      </top>
      <bottom style="thin">
        <color indexed="24"/>
      </bottom>
      <diagonal/>
    </border>
    <border>
      <left style="medium">
        <color rgb="FF000000"/>
      </left>
      <right/>
      <top style="medium">
        <color theme="3" tint="0.59996337778862885"/>
      </top>
      <bottom style="medium">
        <color theme="3" tint="0.59996337778862885"/>
      </bottom>
      <diagonal/>
    </border>
    <border>
      <left/>
      <right style="medium">
        <color rgb="FF000000"/>
      </right>
      <top style="medium">
        <color indexed="24"/>
      </top>
      <bottom style="medium">
        <color indexed="24"/>
      </bottom>
      <diagonal/>
    </border>
    <border>
      <left style="medium">
        <color rgb="FF000000"/>
      </left>
      <right style="thin">
        <color theme="3" tint="0.59996337778862885"/>
      </right>
      <top style="thin">
        <color theme="3" tint="0.59996337778862885"/>
      </top>
      <bottom style="thin">
        <color theme="3" tint="0.59996337778862885"/>
      </bottom>
      <diagonal/>
    </border>
    <border>
      <left style="thin">
        <color indexed="24"/>
      </left>
      <right style="medium">
        <color rgb="FF000000"/>
      </right>
      <top/>
      <bottom style="thin">
        <color indexed="24"/>
      </bottom>
      <diagonal/>
    </border>
    <border>
      <left style="medium">
        <color rgb="FF000000"/>
      </left>
      <right style="thin">
        <color theme="3" tint="0.59996337778862885"/>
      </right>
      <top style="thin">
        <color theme="3" tint="0.59996337778862885"/>
      </top>
      <bottom style="medium">
        <color indexed="24"/>
      </bottom>
      <diagonal/>
    </border>
    <border>
      <left/>
      <right style="medium">
        <color rgb="FF000000"/>
      </right>
      <top style="thin">
        <color indexed="24"/>
      </top>
      <bottom style="thin">
        <color indexed="24"/>
      </bottom>
      <diagonal/>
    </border>
    <border>
      <left style="medium">
        <color rgb="FF000000"/>
      </left>
      <right style="medium">
        <color theme="3"/>
      </right>
      <top style="medium">
        <color theme="3"/>
      </top>
      <bottom style="medium">
        <color theme="3"/>
      </bottom>
      <diagonal/>
    </border>
    <border>
      <left style="medium">
        <color theme="3"/>
      </left>
      <right style="medium">
        <color rgb="FF000000"/>
      </right>
      <top style="medium">
        <color theme="3"/>
      </top>
      <bottom style="medium">
        <color theme="3"/>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style="medium">
        <color indexed="51"/>
      </top>
      <bottom style="medium">
        <color indexed="51"/>
      </bottom>
      <diagonal/>
    </border>
    <border>
      <left style="medium">
        <color theme="8" tint="0.59999389629810485"/>
      </left>
      <right/>
      <top style="medium">
        <color theme="8" tint="0.59999389629810485"/>
      </top>
      <bottom style="medium">
        <color theme="8" tint="0.59999389629810485"/>
      </bottom>
      <diagonal/>
    </border>
    <border>
      <left/>
      <right/>
      <top style="medium">
        <color theme="8" tint="0.59999389629810485"/>
      </top>
      <bottom style="medium">
        <color theme="8" tint="0.59999389629810485"/>
      </bottom>
      <diagonal/>
    </border>
    <border>
      <left/>
      <right style="medium">
        <color theme="8" tint="0.59999389629810485"/>
      </right>
      <top style="medium">
        <color theme="8" tint="0.59999389629810485"/>
      </top>
      <bottom style="medium">
        <color theme="8" tint="0.59999389629810485"/>
      </bottom>
      <diagonal/>
    </border>
    <border>
      <left style="thin">
        <color theme="8" tint="0.59999389629810485"/>
      </left>
      <right style="thin">
        <color theme="8" tint="0.59999389629810485"/>
      </right>
      <top/>
      <bottom style="thin">
        <color theme="8" tint="0.59999389629810485"/>
      </bottom>
      <diagonal/>
    </border>
    <border>
      <left style="thin">
        <color theme="8" tint="0.59999389629810485"/>
      </left>
      <right style="thin">
        <color theme="8" tint="0.59999389629810485"/>
      </right>
      <top style="thin">
        <color theme="8" tint="0.59999389629810485"/>
      </top>
      <bottom style="thin">
        <color theme="8" tint="0.59999389629810485"/>
      </bottom>
      <diagonal/>
    </border>
    <border>
      <left style="medium">
        <color theme="8" tint="0.59999389629810485"/>
      </left>
      <right style="thin">
        <color theme="8" tint="0.59999389629810485"/>
      </right>
      <top/>
      <bottom style="thin">
        <color theme="8" tint="0.59999389629810485"/>
      </bottom>
      <diagonal/>
    </border>
    <border>
      <left style="thin">
        <color theme="8" tint="0.59999389629810485"/>
      </left>
      <right style="medium">
        <color theme="8" tint="0.59999389629810485"/>
      </right>
      <top/>
      <bottom style="thin">
        <color theme="8" tint="0.59999389629810485"/>
      </bottom>
      <diagonal/>
    </border>
    <border>
      <left style="medium">
        <color theme="8" tint="0.59999389629810485"/>
      </left>
      <right style="thin">
        <color theme="8" tint="0.59999389629810485"/>
      </right>
      <top style="thin">
        <color theme="8" tint="0.59999389629810485"/>
      </top>
      <bottom style="thin">
        <color theme="8" tint="0.59999389629810485"/>
      </bottom>
      <diagonal/>
    </border>
    <border>
      <left style="thin">
        <color theme="8" tint="0.59999389629810485"/>
      </left>
      <right style="medium">
        <color theme="8" tint="0.59999389629810485"/>
      </right>
      <top style="thin">
        <color theme="8" tint="0.59999389629810485"/>
      </top>
      <bottom style="thin">
        <color theme="8" tint="0.59999389629810485"/>
      </bottom>
      <diagonal/>
    </border>
    <border>
      <left style="medium">
        <color theme="8" tint="0.59999389629810485"/>
      </left>
      <right style="thin">
        <color theme="8" tint="0.59999389629810485"/>
      </right>
      <top style="thin">
        <color theme="8" tint="0.59999389629810485"/>
      </top>
      <bottom style="medium">
        <color theme="8" tint="0.59999389629810485"/>
      </bottom>
      <diagonal/>
    </border>
    <border>
      <left style="thin">
        <color theme="8" tint="0.59999389629810485"/>
      </left>
      <right style="thin">
        <color theme="8" tint="0.59999389629810485"/>
      </right>
      <top style="thin">
        <color theme="8" tint="0.59999389629810485"/>
      </top>
      <bottom style="medium">
        <color theme="8" tint="0.59999389629810485"/>
      </bottom>
      <diagonal/>
    </border>
    <border>
      <left style="thin">
        <color theme="8" tint="0.59999389629810485"/>
      </left>
      <right style="medium">
        <color theme="8" tint="0.59999389629810485"/>
      </right>
      <top style="thin">
        <color theme="8" tint="0.59999389629810485"/>
      </top>
      <bottom style="medium">
        <color theme="8" tint="0.59999389629810485"/>
      </bottom>
      <diagonal/>
    </border>
    <border>
      <left style="medium">
        <color rgb="FF000000"/>
      </left>
      <right style="thin">
        <color theme="8" tint="0.59999389629810485"/>
      </right>
      <top style="thin">
        <color theme="8" tint="0.59999389629810485"/>
      </top>
      <bottom style="thin">
        <color theme="8" tint="0.59999389629810485"/>
      </bottom>
      <diagonal/>
    </border>
    <border>
      <left style="thin">
        <color theme="8" tint="0.59999389629810485"/>
      </left>
      <right style="medium">
        <color rgb="FF000000"/>
      </right>
      <top style="thin">
        <color theme="8" tint="0.59999389629810485"/>
      </top>
      <bottom style="thin">
        <color theme="8" tint="0.59999389629810485"/>
      </bottom>
      <diagonal/>
    </border>
    <border>
      <left style="thin">
        <color theme="8" tint="0.59999389629810485"/>
      </left>
      <right style="thin">
        <color theme="8" tint="0.59999389629810485"/>
      </right>
      <top style="thin">
        <color theme="8" tint="0.59999389629810485"/>
      </top>
      <bottom style="thin">
        <color indexed="24"/>
      </bottom>
      <diagonal/>
    </border>
    <border>
      <left style="thin">
        <color theme="8" tint="0.59999389629810485"/>
      </left>
      <right style="thin">
        <color theme="8" tint="0.59999389629810485"/>
      </right>
      <top style="thin">
        <color theme="8" tint="0.59999389629810485"/>
      </top>
      <bottom/>
      <diagonal/>
    </border>
    <border>
      <left style="thin">
        <color theme="8" tint="0.59999389629810485"/>
      </left>
      <right style="medium">
        <color theme="8" tint="0.59999389629810485"/>
      </right>
      <top style="thin">
        <color theme="8" tint="0.59999389629810485"/>
      </top>
      <bottom/>
      <diagonal/>
    </border>
    <border>
      <left style="medium">
        <color theme="8" tint="0.59999389629810485"/>
      </left>
      <right style="thin">
        <color theme="8" tint="0.59999389629810485"/>
      </right>
      <top style="thin">
        <color theme="8" tint="0.59999389629810485"/>
      </top>
      <bottom/>
      <diagonal/>
    </border>
    <border>
      <left style="medium">
        <color theme="8" tint="0.59999389629810485"/>
      </left>
      <right/>
      <top style="medium">
        <color theme="8" tint="0.59999389629810485"/>
      </top>
      <bottom style="thin">
        <color theme="8" tint="0.59999389629810485"/>
      </bottom>
      <diagonal/>
    </border>
    <border>
      <left/>
      <right/>
      <top style="medium">
        <color theme="8" tint="0.59999389629810485"/>
      </top>
      <bottom style="thin">
        <color theme="8" tint="0.59999389629810485"/>
      </bottom>
      <diagonal/>
    </border>
    <border>
      <left style="medium">
        <color theme="8" tint="0.59999389629810485"/>
      </left>
      <right style="thin">
        <color theme="8" tint="0.59999389629810485"/>
      </right>
      <top style="thin">
        <color theme="8" tint="0.59999389629810485"/>
      </top>
      <bottom style="thin">
        <color indexed="24"/>
      </bottom>
      <diagonal/>
    </border>
    <border>
      <left style="medium">
        <color rgb="FF000000"/>
      </left>
      <right/>
      <top style="medium">
        <color theme="8" tint="0.59999389629810485"/>
      </top>
      <bottom style="medium">
        <color theme="8" tint="0.59999389629810485"/>
      </bottom>
      <diagonal/>
    </border>
    <border>
      <left/>
      <right style="medium">
        <color rgb="FF000000"/>
      </right>
      <top style="medium">
        <color theme="8" tint="0.59999389629810485"/>
      </top>
      <bottom style="medium">
        <color theme="8" tint="0.59999389629810485"/>
      </bottom>
      <diagonal/>
    </border>
    <border>
      <left style="medium">
        <color rgb="FF000000"/>
      </left>
      <right style="thin">
        <color theme="8" tint="0.59999389629810485"/>
      </right>
      <top/>
      <bottom style="thin">
        <color theme="8" tint="0.59999389629810485"/>
      </bottom>
      <diagonal/>
    </border>
    <border>
      <left style="thin">
        <color theme="8" tint="0.59999389629810485"/>
      </left>
      <right style="medium">
        <color rgb="FF000000"/>
      </right>
      <top/>
      <bottom style="thin">
        <color theme="8" tint="0.59999389629810485"/>
      </bottom>
      <diagonal/>
    </border>
    <border>
      <left style="medium">
        <color rgb="FF000000"/>
      </left>
      <right style="thin">
        <color theme="8" tint="0.59999389629810485"/>
      </right>
      <top style="thin">
        <color theme="8" tint="0.59999389629810485"/>
      </top>
      <bottom style="medium">
        <color theme="8" tint="0.59999389629810485"/>
      </bottom>
      <diagonal/>
    </border>
    <border>
      <left style="thin">
        <color theme="8" tint="0.59999389629810485"/>
      </left>
      <right style="medium">
        <color rgb="FF000000"/>
      </right>
      <top style="thin">
        <color theme="8" tint="0.59999389629810485"/>
      </top>
      <bottom style="medium">
        <color theme="8" tint="0.59999389629810485"/>
      </bottom>
      <diagonal/>
    </border>
    <border>
      <left/>
      <right style="medium">
        <color rgb="FF000000"/>
      </right>
      <top style="medium">
        <color theme="8" tint="0.59999389629810485"/>
      </top>
      <bottom style="thin">
        <color theme="8" tint="0.59999389629810485"/>
      </bottom>
      <diagonal/>
    </border>
    <border>
      <left style="medium">
        <color rgb="FF000000"/>
      </left>
      <right style="thin">
        <color theme="8" tint="0.59999389629810485"/>
      </right>
      <top style="thin">
        <color theme="8" tint="0.59999389629810485"/>
      </top>
      <bottom/>
      <diagonal/>
    </border>
    <border>
      <left style="thin">
        <color theme="8" tint="0.59999389629810485"/>
      </left>
      <right style="medium">
        <color rgb="FF000000"/>
      </right>
      <top style="thin">
        <color theme="8" tint="0.59999389629810485"/>
      </top>
      <bottom/>
      <diagonal/>
    </border>
    <border>
      <left style="medium">
        <color rgb="FFE8C406"/>
      </left>
      <right/>
      <top style="medium">
        <color rgb="FFE8C406"/>
      </top>
      <bottom style="thick">
        <color indexed="9"/>
      </bottom>
      <diagonal/>
    </border>
    <border>
      <left/>
      <right/>
      <top style="medium">
        <color rgb="FFE8C406"/>
      </top>
      <bottom style="thick">
        <color indexed="9"/>
      </bottom>
      <diagonal/>
    </border>
    <border>
      <left style="medium">
        <color theme="3" tint="0.59996337778862885"/>
      </left>
      <right/>
      <top style="medium">
        <color rgb="FFE8C406"/>
      </top>
      <bottom style="thick">
        <color indexed="9"/>
      </bottom>
      <diagonal/>
    </border>
    <border>
      <left/>
      <right style="medium">
        <color rgb="FFE8C406"/>
      </right>
      <top style="medium">
        <color rgb="FFE8C406"/>
      </top>
      <bottom style="thick">
        <color indexed="9"/>
      </bottom>
      <diagonal/>
    </border>
    <border>
      <left style="medium">
        <color rgb="FFE8C406"/>
      </left>
      <right style="medium">
        <color indexed="51"/>
      </right>
      <top style="medium">
        <color indexed="51"/>
      </top>
      <bottom style="medium">
        <color indexed="51"/>
      </bottom>
      <diagonal/>
    </border>
    <border>
      <left style="medium">
        <color indexed="51"/>
      </left>
      <right style="medium">
        <color rgb="FFE8C406"/>
      </right>
      <top style="medium">
        <color indexed="51"/>
      </top>
      <bottom style="medium">
        <color indexed="51"/>
      </bottom>
      <diagonal/>
    </border>
    <border>
      <left style="medium">
        <color rgb="FFE8C406"/>
      </left>
      <right style="medium">
        <color indexed="51"/>
      </right>
      <top style="medium">
        <color indexed="51"/>
      </top>
      <bottom style="medium">
        <color rgb="FFE8C406"/>
      </bottom>
      <diagonal/>
    </border>
    <border>
      <left style="medium">
        <color theme="8" tint="0.59999389629810485"/>
      </left>
      <right style="thick">
        <color indexed="9"/>
      </right>
      <top style="medium">
        <color theme="8" tint="0.59999389629810485"/>
      </top>
      <bottom style="thick">
        <color indexed="9"/>
      </bottom>
      <diagonal/>
    </border>
    <border>
      <left style="thick">
        <color indexed="9"/>
      </left>
      <right style="thick">
        <color indexed="9"/>
      </right>
      <top style="medium">
        <color theme="8" tint="0.59999389629810485"/>
      </top>
      <bottom style="thick">
        <color indexed="9"/>
      </bottom>
      <diagonal/>
    </border>
    <border>
      <left style="thick">
        <color indexed="9"/>
      </left>
      <right style="medium">
        <color theme="8" tint="0.59999389629810485"/>
      </right>
      <top style="medium">
        <color theme="8" tint="0.59999389629810485"/>
      </top>
      <bottom style="thick">
        <color indexed="9"/>
      </bottom>
      <diagonal/>
    </border>
    <border>
      <left style="medium">
        <color theme="8" tint="0.59999389629810485"/>
      </left>
      <right style="thick">
        <color indexed="9"/>
      </right>
      <top style="thick">
        <color indexed="9"/>
      </top>
      <bottom/>
      <diagonal/>
    </border>
    <border>
      <left style="thick">
        <color indexed="9"/>
      </left>
      <right style="medium">
        <color theme="8" tint="0.59999389629810485"/>
      </right>
      <top style="thick">
        <color indexed="9"/>
      </top>
      <bottom/>
      <diagonal/>
    </border>
    <border>
      <left style="medium">
        <color theme="8" tint="0.59999389629810485"/>
      </left>
      <right/>
      <top/>
      <bottom/>
      <diagonal/>
    </border>
    <border>
      <left/>
      <right style="medium">
        <color theme="8" tint="0.59999389629810485"/>
      </right>
      <top/>
      <bottom/>
      <diagonal/>
    </border>
    <border>
      <left style="medium">
        <color theme="8" tint="0.59999389629810485"/>
      </left>
      <right/>
      <top style="medium">
        <color theme="8" tint="0.59999389629810485"/>
      </top>
      <bottom style="thick">
        <color indexed="9"/>
      </bottom>
      <diagonal/>
    </border>
    <border>
      <left style="medium">
        <color theme="8" tint="0.59999389629810485"/>
      </left>
      <right/>
      <top style="thick">
        <color indexed="9"/>
      </top>
      <bottom/>
      <diagonal/>
    </border>
    <border>
      <left/>
      <right/>
      <top style="medium">
        <color theme="8" tint="0.59999389629810485"/>
      </top>
      <bottom style="thick">
        <color indexed="9"/>
      </bottom>
      <diagonal/>
    </border>
    <border>
      <left style="thick">
        <color indexed="9"/>
      </left>
      <right/>
      <top style="thick">
        <color indexed="9"/>
      </top>
      <bottom/>
      <diagonal/>
    </border>
    <border>
      <left style="medium">
        <color theme="8" tint="0.59999389629810485"/>
      </left>
      <right style="thin">
        <color theme="8" tint="0.59999389629810485"/>
      </right>
      <top style="thin">
        <color theme="8" tint="0.59999389629810485"/>
      </top>
      <bottom style="thin">
        <color theme="4" tint="0.39991454817346722"/>
      </bottom>
      <diagonal/>
    </border>
    <border>
      <left style="thin">
        <color theme="8" tint="0.59999389629810485"/>
      </left>
      <right style="thin">
        <color theme="8" tint="0.59999389629810485"/>
      </right>
      <top style="thin">
        <color theme="8" tint="0.59999389629810485"/>
      </top>
      <bottom style="thin">
        <color theme="4" tint="0.39991454817346722"/>
      </bottom>
      <diagonal/>
    </border>
    <border>
      <left style="thin">
        <color theme="8" tint="0.59999389629810485"/>
      </left>
      <right style="medium">
        <color theme="8" tint="0.59999389629810485"/>
      </right>
      <top style="thin">
        <color theme="8" tint="0.59999389629810485"/>
      </top>
      <bottom style="thin">
        <color theme="4" tint="0.39991454817346722"/>
      </bottom>
      <diagonal/>
    </border>
    <border>
      <left style="medium">
        <color theme="8" tint="0.59999389629810485"/>
      </left>
      <right style="thin">
        <color theme="8" tint="0.59999389629810485"/>
      </right>
      <top style="medium">
        <color theme="8" tint="0.59999389629810485"/>
      </top>
      <bottom style="medium">
        <color theme="8" tint="0.59999389629810485"/>
      </bottom>
      <diagonal/>
    </border>
    <border>
      <left style="thin">
        <color theme="8" tint="0.59999389629810485"/>
      </left>
      <right style="thin">
        <color theme="8" tint="0.59999389629810485"/>
      </right>
      <top style="medium">
        <color theme="8" tint="0.59999389629810485"/>
      </top>
      <bottom style="medium">
        <color theme="8" tint="0.59999389629810485"/>
      </bottom>
      <diagonal/>
    </border>
    <border>
      <left style="thin">
        <color theme="8" tint="0.59999389629810485"/>
      </left>
      <right style="medium">
        <color theme="8" tint="0.59999389629810485"/>
      </right>
      <top style="medium">
        <color theme="8" tint="0.59999389629810485"/>
      </top>
      <bottom style="medium">
        <color theme="8" tint="0.59999389629810485"/>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dotted">
        <color indexed="64"/>
      </top>
      <bottom/>
      <diagonal/>
    </border>
    <border>
      <left/>
      <right style="medium">
        <color rgb="FF000000"/>
      </right>
      <top style="dotted">
        <color indexed="64"/>
      </top>
      <bottom/>
      <diagonal/>
    </border>
    <border>
      <left style="medium">
        <color rgb="FF000000"/>
      </left>
      <right/>
      <top/>
      <bottom style="dotted">
        <color indexed="64"/>
      </bottom>
      <diagonal/>
    </border>
    <border>
      <left/>
      <right style="medium">
        <color rgb="FF000000"/>
      </right>
      <top/>
      <bottom style="dotted">
        <color indexed="64"/>
      </bottom>
      <diagonal/>
    </border>
    <border>
      <left style="medium">
        <color rgb="FF000000"/>
      </left>
      <right/>
      <top/>
      <bottom style="thin">
        <color indexed="64"/>
      </bottom>
      <diagonal/>
    </border>
    <border>
      <left style="medium">
        <color rgb="FF000000"/>
      </left>
      <right/>
      <top style="thin">
        <color indexed="64"/>
      </top>
      <bottom style="medium">
        <color indexed="64"/>
      </bottom>
      <diagonal/>
    </border>
    <border>
      <left/>
      <right style="medium">
        <color rgb="FF000000"/>
      </right>
      <top style="thin">
        <color indexed="64"/>
      </top>
      <bottom style="medium">
        <color indexed="64"/>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style="thin">
        <color indexed="64"/>
      </top>
      <bottom style="medium">
        <color indexed="64"/>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style="thin">
        <color rgb="FF000000"/>
      </top>
      <bottom/>
      <diagonal/>
    </border>
    <border>
      <left style="medium">
        <color indexed="64"/>
      </left>
      <right style="thin">
        <color indexed="64"/>
      </right>
      <top style="medium">
        <color indexed="64"/>
      </top>
      <bottom/>
      <diagonal/>
    </border>
  </borders>
  <cellStyleXfs count="7">
    <xf numFmtId="0" fontId="0" fillId="0" borderId="0"/>
    <xf numFmtId="0" fontId="2" fillId="0" borderId="0"/>
    <xf numFmtId="164" fontId="2" fillId="0" borderId="0" applyFont="0" applyFill="0" applyBorder="0" applyAlignment="0" applyProtection="0"/>
    <xf numFmtId="164" fontId="3" fillId="0" borderId="0" applyFont="0" applyFill="0" applyBorder="0" applyAlignment="0" applyProtection="0"/>
    <xf numFmtId="9" fontId="2"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cellStyleXfs>
  <cellXfs count="790">
    <xf numFmtId="0" fontId="0" fillId="0" borderId="0" xfId="0"/>
    <xf numFmtId="0" fontId="7" fillId="2" borderId="0" xfId="0" applyFont="1" applyFill="1" applyAlignment="1">
      <alignment horizontal="centerContinuous" vertical="center"/>
    </xf>
    <xf numFmtId="0" fontId="0" fillId="0" borderId="0" xfId="0" applyAlignment="1">
      <alignment vertical="center"/>
    </xf>
    <xf numFmtId="0" fontId="8" fillId="3" borderId="7" xfId="0" applyFont="1" applyFill="1" applyBorder="1" applyAlignment="1">
      <alignment horizontal="centerContinuous" vertical="center"/>
    </xf>
    <xf numFmtId="0" fontId="8" fillId="3" borderId="0" xfId="0" applyFont="1" applyFill="1" applyAlignment="1">
      <alignment horizontal="centerContinuous" vertical="center"/>
    </xf>
    <xf numFmtId="0" fontId="8" fillId="3" borderId="8" xfId="0" applyFont="1" applyFill="1" applyBorder="1" applyAlignment="1">
      <alignment horizontal="centerContinuous" vertical="center"/>
    </xf>
    <xf numFmtId="0" fontId="9" fillId="0" borderId="0" xfId="0" applyFont="1" applyAlignment="1">
      <alignment vertical="center"/>
    </xf>
    <xf numFmtId="0" fontId="10" fillId="3" borderId="7" xfId="0" applyFont="1" applyFill="1" applyBorder="1" applyAlignment="1">
      <alignment vertical="center"/>
    </xf>
    <xf numFmtId="0" fontId="10" fillId="3" borderId="0" xfId="0" applyFont="1" applyFill="1" applyAlignment="1">
      <alignment vertical="center"/>
    </xf>
    <xf numFmtId="0" fontId="11" fillId="3" borderId="0" xfId="0" applyFont="1" applyFill="1" applyAlignment="1">
      <alignment vertical="center"/>
    </xf>
    <xf numFmtId="0" fontId="11" fillId="3" borderId="8" xfId="0" applyFont="1" applyFill="1" applyBorder="1" applyAlignment="1">
      <alignment vertical="center"/>
    </xf>
    <xf numFmtId="0" fontId="12" fillId="2" borderId="10" xfId="0" applyFont="1" applyFill="1" applyBorder="1" applyAlignment="1">
      <alignment vertical="center"/>
    </xf>
    <xf numFmtId="0" fontId="13" fillId="2" borderId="11" xfId="0" applyFont="1" applyFill="1" applyBorder="1" applyAlignment="1">
      <alignment vertical="center"/>
    </xf>
    <xf numFmtId="0" fontId="13" fillId="2" borderId="12" xfId="0" applyFont="1" applyFill="1" applyBorder="1" applyAlignment="1">
      <alignment vertical="center"/>
    </xf>
    <xf numFmtId="0" fontId="13" fillId="2" borderId="0" xfId="0" applyFont="1" applyFill="1" applyAlignment="1">
      <alignment vertical="center"/>
    </xf>
    <xf numFmtId="0" fontId="14" fillId="0" borderId="0" xfId="0" applyFont="1" applyAlignment="1">
      <alignment vertical="center"/>
    </xf>
    <xf numFmtId="0" fontId="11" fillId="3" borderId="7" xfId="0" applyFont="1" applyFill="1" applyBorder="1" applyAlignment="1">
      <alignment vertical="center"/>
    </xf>
    <xf numFmtId="0" fontId="10" fillId="3" borderId="0" xfId="0" applyFont="1" applyFill="1" applyAlignment="1">
      <alignment horizontal="left" vertical="center"/>
    </xf>
    <xf numFmtId="0" fontId="10" fillId="3" borderId="7" xfId="0" applyFont="1" applyFill="1" applyBorder="1" applyAlignment="1">
      <alignment horizontal="left" vertical="center" wrapText="1"/>
    </xf>
    <xf numFmtId="0" fontId="16" fillId="3" borderId="0" xfId="0" applyFont="1" applyFill="1" applyAlignment="1">
      <alignment horizontal="left" vertical="center" indent="1"/>
    </xf>
    <xf numFmtId="0" fontId="16" fillId="3" borderId="20" xfId="0" applyFont="1" applyFill="1" applyBorder="1" applyAlignment="1">
      <alignment horizontal="left" vertical="center" indent="1"/>
    </xf>
    <xf numFmtId="0" fontId="15" fillId="0" borderId="0" xfId="0" applyFont="1" applyAlignment="1">
      <alignment vertical="center"/>
    </xf>
    <xf numFmtId="0" fontId="15" fillId="0" borderId="21" xfId="0" applyFont="1" applyBorder="1" applyAlignment="1">
      <alignment vertical="center"/>
    </xf>
    <xf numFmtId="0" fontId="11" fillId="3" borderId="7" xfId="0" applyFont="1" applyFill="1" applyBorder="1" applyAlignment="1">
      <alignment horizontal="left" vertical="center" indent="1"/>
    </xf>
    <xf numFmtId="0" fontId="17" fillId="3" borderId="0" xfId="0" applyFont="1" applyFill="1" applyAlignment="1">
      <alignment horizontal="right" vertical="center"/>
    </xf>
    <xf numFmtId="0" fontId="11" fillId="3" borderId="0" xfId="0" applyFont="1" applyFill="1" applyAlignment="1">
      <alignment horizontal="center" vertical="center"/>
    </xf>
    <xf numFmtId="0" fontId="10" fillId="3" borderId="0" xfId="0" applyFont="1" applyFill="1" applyAlignment="1">
      <alignment horizontal="right" vertical="center"/>
    </xf>
    <xf numFmtId="0" fontId="19" fillId="2" borderId="0" xfId="0" applyFont="1" applyFill="1" applyAlignment="1">
      <alignment horizontal="center" vertical="center"/>
    </xf>
    <xf numFmtId="0" fontId="13" fillId="2" borderId="31" xfId="0" applyFont="1" applyFill="1" applyBorder="1" applyAlignment="1">
      <alignment horizontal="center" vertical="center"/>
    </xf>
    <xf numFmtId="0" fontId="13" fillId="2" borderId="33" xfId="0" applyFont="1" applyFill="1" applyBorder="1" applyAlignment="1">
      <alignment horizontal="center" vertical="center"/>
    </xf>
    <xf numFmtId="0" fontId="13" fillId="2" borderId="0" xfId="0" applyFont="1" applyFill="1" applyAlignment="1">
      <alignment horizontal="center" vertical="center"/>
    </xf>
    <xf numFmtId="0" fontId="10" fillId="5" borderId="34" xfId="0" applyFont="1" applyFill="1" applyBorder="1" applyAlignment="1">
      <alignment vertical="center"/>
    </xf>
    <xf numFmtId="0" fontId="11" fillId="5" borderId="35" xfId="0" applyFont="1" applyFill="1" applyBorder="1" applyAlignment="1">
      <alignment vertical="center"/>
    </xf>
    <xf numFmtId="0" fontId="11" fillId="5" borderId="36" xfId="0" applyFont="1" applyFill="1" applyBorder="1" applyAlignment="1">
      <alignment vertical="center"/>
    </xf>
    <xf numFmtId="0" fontId="11" fillId="5" borderId="37" xfId="0" applyFont="1" applyFill="1" applyBorder="1" applyAlignment="1">
      <alignment vertical="center"/>
    </xf>
    <xf numFmtId="0" fontId="11" fillId="5" borderId="38" xfId="0" applyFont="1" applyFill="1" applyBorder="1" applyAlignment="1">
      <alignment vertical="center"/>
    </xf>
    <xf numFmtId="0" fontId="11" fillId="5" borderId="39" xfId="0" applyFont="1" applyFill="1" applyBorder="1" applyAlignment="1">
      <alignment vertical="center"/>
    </xf>
    <xf numFmtId="0" fontId="11" fillId="5" borderId="0" xfId="0" applyFont="1" applyFill="1" applyAlignment="1">
      <alignment vertical="center"/>
    </xf>
    <xf numFmtId="39" fontId="10" fillId="0" borderId="41" xfId="2" applyNumberFormat="1" applyFont="1" applyFill="1" applyBorder="1" applyAlignment="1" applyProtection="1">
      <alignment vertical="center"/>
      <protection locked="0"/>
    </xf>
    <xf numFmtId="0" fontId="11" fillId="0" borderId="0" xfId="0" applyFont="1" applyAlignment="1">
      <alignment vertical="center"/>
    </xf>
    <xf numFmtId="164" fontId="11" fillId="0" borderId="0" xfId="5" applyFont="1" applyFill="1" applyBorder="1" applyAlignment="1" applyProtection="1">
      <alignment vertical="center" wrapText="1"/>
      <protection locked="0"/>
    </xf>
    <xf numFmtId="0" fontId="20" fillId="0" borderId="0" xfId="0" applyFont="1" applyAlignment="1" applyProtection="1">
      <alignment vertical="center" wrapText="1"/>
      <protection locked="0"/>
    </xf>
    <xf numFmtId="164" fontId="10" fillId="0" borderId="47" xfId="2" applyFont="1" applyFill="1" applyBorder="1" applyAlignment="1" applyProtection="1">
      <alignment vertical="center"/>
      <protection locked="0"/>
    </xf>
    <xf numFmtId="164" fontId="10" fillId="0" borderId="49" xfId="5" applyFont="1" applyFill="1" applyBorder="1" applyAlignment="1" applyProtection="1">
      <alignment vertical="center"/>
      <protection locked="0"/>
    </xf>
    <xf numFmtId="0" fontId="10" fillId="3" borderId="26" xfId="0" applyFont="1" applyFill="1" applyBorder="1" applyAlignment="1">
      <alignment vertical="center"/>
    </xf>
    <xf numFmtId="164" fontId="11" fillId="3" borderId="0" xfId="5" applyFont="1" applyFill="1" applyBorder="1" applyAlignment="1">
      <alignment vertical="center"/>
    </xf>
    <xf numFmtId="0" fontId="10" fillId="5" borderId="52" xfId="1" applyFont="1" applyFill="1" applyBorder="1" applyAlignment="1">
      <alignment vertical="center"/>
    </xf>
    <xf numFmtId="0" fontId="11" fillId="5" borderId="53" xfId="0" applyFont="1" applyFill="1" applyBorder="1" applyAlignment="1">
      <alignment vertical="center"/>
    </xf>
    <xf numFmtId="0" fontId="11" fillId="5" borderId="54" xfId="0" applyFont="1" applyFill="1" applyBorder="1" applyAlignment="1">
      <alignment vertical="center"/>
    </xf>
    <xf numFmtId="0" fontId="11" fillId="5" borderId="55" xfId="0" applyFont="1" applyFill="1" applyBorder="1" applyAlignment="1">
      <alignment vertical="center"/>
    </xf>
    <xf numFmtId="0" fontId="11" fillId="5" borderId="56" xfId="0" applyFont="1" applyFill="1" applyBorder="1" applyAlignment="1">
      <alignment vertical="center"/>
    </xf>
    <xf numFmtId="0" fontId="11" fillId="5" borderId="57" xfId="0" applyFont="1" applyFill="1" applyBorder="1" applyAlignment="1">
      <alignment vertical="center"/>
    </xf>
    <xf numFmtId="164" fontId="11" fillId="5" borderId="0" xfId="5" applyFont="1" applyFill="1" applyBorder="1" applyAlignment="1">
      <alignment vertical="center"/>
    </xf>
    <xf numFmtId="164" fontId="10" fillId="3" borderId="59" xfId="2" applyFont="1" applyFill="1" applyBorder="1" applyAlignment="1" applyProtection="1">
      <alignment vertical="center"/>
      <protection locked="0"/>
    </xf>
    <xf numFmtId="164" fontId="10" fillId="0" borderId="61" xfId="5" applyFont="1" applyFill="1" applyBorder="1" applyAlignment="1" applyProtection="1">
      <alignment vertical="center"/>
      <protection locked="0"/>
    </xf>
    <xf numFmtId="164" fontId="10" fillId="3" borderId="65" xfId="5" applyFont="1" applyFill="1" applyBorder="1" applyAlignment="1" applyProtection="1">
      <alignment vertical="center"/>
      <protection locked="0"/>
    </xf>
    <xf numFmtId="164" fontId="10" fillId="6" borderId="67" xfId="5" applyFont="1" applyFill="1" applyBorder="1" applyAlignment="1" applyProtection="1">
      <alignment vertical="center"/>
      <protection locked="0"/>
    </xf>
    <xf numFmtId="0" fontId="20" fillId="3" borderId="0" xfId="0" applyFont="1" applyFill="1" applyAlignment="1" applyProtection="1">
      <alignment vertical="center" wrapText="1"/>
      <protection locked="0"/>
    </xf>
    <xf numFmtId="39" fontId="10" fillId="5" borderId="68" xfId="0" applyNumberFormat="1" applyFont="1" applyFill="1" applyBorder="1" applyAlignment="1">
      <alignment vertical="center"/>
    </xf>
    <xf numFmtId="164" fontId="10" fillId="5" borderId="68" xfId="0" applyNumberFormat="1" applyFont="1" applyFill="1" applyBorder="1" applyAlignment="1">
      <alignment vertical="center"/>
    </xf>
    <xf numFmtId="164" fontId="11" fillId="3" borderId="0" xfId="5" applyFont="1" applyFill="1" applyBorder="1" applyAlignment="1" applyProtection="1">
      <alignment vertical="center" wrapText="1"/>
      <protection locked="0"/>
    </xf>
    <xf numFmtId="0" fontId="11" fillId="0" borderId="7" xfId="0" applyFont="1" applyBorder="1" applyAlignment="1">
      <alignment vertical="center"/>
    </xf>
    <xf numFmtId="0" fontId="11" fillId="0" borderId="8" xfId="0" applyFont="1" applyBorder="1" applyAlignment="1">
      <alignment vertical="center"/>
    </xf>
    <xf numFmtId="0" fontId="10" fillId="0" borderId="7" xfId="0" applyFont="1" applyBorder="1" applyAlignment="1">
      <alignment horizontal="left" vertical="center" wrapText="1"/>
    </xf>
    <xf numFmtId="0" fontId="10" fillId="0" borderId="0" xfId="0" applyFont="1" applyAlignment="1">
      <alignment horizontal="left" vertical="center" wrapText="1"/>
    </xf>
    <xf numFmtId="164" fontId="10" fillId="0" borderId="0" xfId="5" applyFont="1" applyFill="1" applyBorder="1" applyAlignment="1">
      <alignment vertical="center"/>
    </xf>
    <xf numFmtId="0" fontId="21" fillId="0" borderId="0" xfId="0" applyFont="1" applyAlignment="1" applyProtection="1">
      <alignment vertical="center" wrapText="1"/>
      <protection locked="0"/>
    </xf>
    <xf numFmtId="0" fontId="21" fillId="0" borderId="8" xfId="0" applyFont="1" applyBorder="1" applyAlignment="1" applyProtection="1">
      <alignment vertical="center" wrapText="1"/>
      <protection locked="0"/>
    </xf>
    <xf numFmtId="0" fontId="10" fillId="0" borderId="0" xfId="0" applyFont="1" applyAlignment="1">
      <alignment vertical="center"/>
    </xf>
    <xf numFmtId="0" fontId="0" fillId="0" borderId="8" xfId="0" applyBorder="1" applyAlignment="1">
      <alignment vertical="center"/>
    </xf>
    <xf numFmtId="9" fontId="10" fillId="7" borderId="70" xfId="6" applyFont="1" applyFill="1" applyBorder="1" applyAlignment="1">
      <alignment horizontal="center" vertical="center"/>
    </xf>
    <xf numFmtId="9" fontId="10" fillId="0" borderId="0" xfId="6" applyFont="1" applyFill="1" applyBorder="1" applyAlignment="1">
      <alignment vertical="center"/>
    </xf>
    <xf numFmtId="0" fontId="10" fillId="0" borderId="0" xfId="0" applyFont="1" applyAlignment="1">
      <alignment horizontal="left" vertical="center"/>
    </xf>
    <xf numFmtId="164" fontId="11" fillId="0" borderId="0" xfId="5" applyFont="1" applyFill="1" applyBorder="1" applyAlignment="1">
      <alignment horizontal="center" vertical="center"/>
    </xf>
    <xf numFmtId="9" fontId="11" fillId="5" borderId="0" xfId="6" applyFont="1" applyFill="1" applyBorder="1" applyAlignment="1">
      <alignment horizontal="left" vertical="center"/>
    </xf>
    <xf numFmtId="0" fontId="22" fillId="0" borderId="0" xfId="0" applyFont="1" applyAlignment="1">
      <alignment vertical="center" wrapText="1"/>
    </xf>
    <xf numFmtId="0" fontId="23" fillId="3" borderId="7" xfId="0" applyFont="1" applyFill="1" applyBorder="1" applyAlignment="1">
      <alignment vertical="center"/>
    </xf>
    <xf numFmtId="0" fontId="23" fillId="3" borderId="0" xfId="0" applyFont="1" applyFill="1" applyAlignment="1">
      <alignment vertical="center"/>
    </xf>
    <xf numFmtId="0" fontId="0" fillId="3" borderId="0" xfId="0" applyFill="1" applyAlignment="1">
      <alignment vertical="center"/>
    </xf>
    <xf numFmtId="0" fontId="10" fillId="3" borderId="7" xfId="0" applyFont="1" applyFill="1" applyBorder="1" applyAlignment="1" applyProtection="1">
      <alignment vertical="center"/>
      <protection locked="0"/>
    </xf>
    <xf numFmtId="0" fontId="11" fillId="3" borderId="0" xfId="0" applyFont="1" applyFill="1" applyAlignment="1" applyProtection="1">
      <alignment vertical="center"/>
      <protection locked="0"/>
    </xf>
    <xf numFmtId="0" fontId="24" fillId="3" borderId="4" xfId="0" applyFont="1" applyFill="1" applyBorder="1" applyAlignment="1">
      <alignment vertical="center"/>
    </xf>
    <xf numFmtId="0" fontId="24" fillId="3" borderId="5" xfId="0" applyFont="1" applyFill="1" applyBorder="1" applyAlignment="1">
      <alignment vertical="center"/>
    </xf>
    <xf numFmtId="0" fontId="24" fillId="3" borderId="6" xfId="0" applyFont="1" applyFill="1" applyBorder="1" applyAlignment="1">
      <alignment vertical="center"/>
    </xf>
    <xf numFmtId="0" fontId="24" fillId="3" borderId="0" xfId="0" applyFont="1" applyFill="1" applyAlignment="1">
      <alignment vertical="center"/>
    </xf>
    <xf numFmtId="0" fontId="25" fillId="0" borderId="0" xfId="0" applyFont="1" applyAlignment="1">
      <alignment vertical="center"/>
    </xf>
    <xf numFmtId="0" fontId="25" fillId="0" borderId="0" xfId="0" applyFont="1" applyAlignment="1">
      <alignment horizontal="right" vertical="center"/>
    </xf>
    <xf numFmtId="0" fontId="0" fillId="0" borderId="0" xfId="0" applyAlignment="1">
      <alignment horizontal="right" vertical="center"/>
    </xf>
    <xf numFmtId="0" fontId="26" fillId="8" borderId="75" xfId="0" applyFont="1" applyFill="1" applyBorder="1" applyAlignment="1">
      <alignment vertical="center"/>
    </xf>
    <xf numFmtId="0" fontId="26" fillId="8" borderId="76" xfId="0" applyFont="1" applyFill="1" applyBorder="1" applyAlignment="1">
      <alignment horizontal="center" vertical="center"/>
    </xf>
    <xf numFmtId="0" fontId="26" fillId="8" borderId="0" xfId="0" applyFont="1" applyFill="1" applyAlignment="1">
      <alignment horizontal="center" vertical="center"/>
    </xf>
    <xf numFmtId="0" fontId="27" fillId="0" borderId="77" xfId="0" applyFont="1" applyBorder="1" applyAlignment="1">
      <alignment vertical="center"/>
    </xf>
    <xf numFmtId="0" fontId="27" fillId="0" borderId="78" xfId="0" applyFont="1" applyBorder="1" applyAlignment="1">
      <alignment horizontal="center" vertical="center"/>
    </xf>
    <xf numFmtId="0" fontId="27" fillId="0" borderId="0" xfId="0" applyFont="1" applyAlignment="1">
      <alignment horizontal="center" vertical="center"/>
    </xf>
    <xf numFmtId="0" fontId="28" fillId="0" borderId="0" xfId="1" applyFont="1" applyAlignment="1">
      <alignment vertical="center"/>
    </xf>
    <xf numFmtId="0" fontId="28" fillId="0" borderId="0" xfId="1" applyFont="1" applyAlignment="1">
      <alignment horizontal="left" vertical="center"/>
    </xf>
    <xf numFmtId="0" fontId="28" fillId="0" borderId="8" xfId="1" applyFont="1" applyBorder="1" applyAlignment="1">
      <alignment horizontal="left" vertical="center"/>
    </xf>
    <xf numFmtId="0" fontId="28" fillId="0" borderId="73" xfId="1" applyFont="1" applyBorder="1" applyAlignment="1">
      <alignment horizontal="left" vertical="center"/>
    </xf>
    <xf numFmtId="0" fontId="6" fillId="2" borderId="83" xfId="1" applyFont="1" applyFill="1" applyBorder="1" applyAlignment="1">
      <alignment horizontal="center" vertical="center"/>
    </xf>
    <xf numFmtId="0" fontId="30" fillId="0" borderId="9" xfId="1" applyFont="1" applyBorder="1" applyAlignment="1">
      <alignment horizontal="left" vertical="center"/>
    </xf>
    <xf numFmtId="0" fontId="31" fillId="0" borderId="73" xfId="0" applyFont="1" applyBorder="1" applyAlignment="1">
      <alignment vertical="center"/>
    </xf>
    <xf numFmtId="0" fontId="30" fillId="4" borderId="8" xfId="1" applyFont="1" applyFill="1" applyBorder="1" applyAlignment="1">
      <alignment vertical="center"/>
    </xf>
    <xf numFmtId="0" fontId="33" fillId="0" borderId="0" xfId="0" applyFont="1" applyAlignment="1">
      <alignment vertical="center"/>
    </xf>
    <xf numFmtId="0" fontId="33" fillId="10" borderId="16" xfId="0" applyFont="1" applyFill="1" applyBorder="1" applyAlignment="1">
      <alignment horizontal="center" vertical="center" wrapText="1"/>
    </xf>
    <xf numFmtId="0" fontId="33" fillId="11" borderId="16" xfId="0" applyFont="1" applyFill="1" applyBorder="1" applyAlignment="1">
      <alignment horizontal="center" vertical="center" wrapText="1"/>
    </xf>
    <xf numFmtId="0" fontId="33" fillId="0" borderId="0" xfId="0" applyFont="1" applyAlignment="1">
      <alignment horizontal="center" vertical="top"/>
    </xf>
    <xf numFmtId="0" fontId="34" fillId="0" borderId="16" xfId="0" applyFont="1" applyBorder="1" applyAlignment="1">
      <alignment horizontal="left" vertical="center" indent="1"/>
    </xf>
    <xf numFmtId="9" fontId="33" fillId="0" borderId="16" xfId="0" applyNumberFormat="1" applyFont="1" applyBorder="1" applyAlignment="1">
      <alignment horizontal="center" vertical="center"/>
    </xf>
    <xf numFmtId="0" fontId="34" fillId="0" borderId="96" xfId="0" applyFont="1" applyBorder="1" applyAlignment="1">
      <alignment horizontal="left" vertical="center" indent="1"/>
    </xf>
    <xf numFmtId="9" fontId="33" fillId="0" borderId="96" xfId="0" applyNumberFormat="1" applyFont="1" applyBorder="1" applyAlignment="1">
      <alignment horizontal="center" vertical="center"/>
    </xf>
    <xf numFmtId="0" fontId="35" fillId="2" borderId="111" xfId="1" applyFont="1" applyFill="1" applyBorder="1" applyAlignment="1">
      <alignment horizontal="center" vertical="center"/>
    </xf>
    <xf numFmtId="0" fontId="35" fillId="2" borderId="112" xfId="1" applyFont="1" applyFill="1" applyBorder="1" applyAlignment="1">
      <alignment horizontal="center" vertical="center"/>
    </xf>
    <xf numFmtId="0" fontId="35" fillId="2" borderId="76" xfId="1" applyFont="1" applyFill="1" applyBorder="1" applyAlignment="1">
      <alignment horizontal="center" vertical="center"/>
    </xf>
    <xf numFmtId="0" fontId="2" fillId="0" borderId="0" xfId="1"/>
    <xf numFmtId="0" fontId="2" fillId="0" borderId="113" xfId="1" applyBorder="1"/>
    <xf numFmtId="0" fontId="36" fillId="3" borderId="114" xfId="1" applyFont="1" applyFill="1" applyBorder="1" applyAlignment="1">
      <alignment horizontal="left" vertical="center"/>
    </xf>
    <xf numFmtId="0" fontId="37" fillId="3" borderId="114" xfId="1" applyFont="1" applyFill="1" applyBorder="1" applyAlignment="1">
      <alignment horizontal="center" vertical="center"/>
    </xf>
    <xf numFmtId="0" fontId="38" fillId="3" borderId="115" xfId="1" applyFont="1" applyFill="1" applyBorder="1" applyAlignment="1">
      <alignment horizontal="center" vertical="center"/>
    </xf>
    <xf numFmtId="0" fontId="2" fillId="0" borderId="118" xfId="1" applyBorder="1"/>
    <xf numFmtId="0" fontId="2" fillId="0" borderId="113" xfId="1" applyBorder="1" applyAlignment="1">
      <alignment horizontal="left" indent="1"/>
    </xf>
    <xf numFmtId="0" fontId="40" fillId="0" borderId="0" xfId="1" applyFont="1" applyAlignment="1">
      <alignment horizontal="left"/>
    </xf>
    <xf numFmtId="0" fontId="40" fillId="0" borderId="0" xfId="1" applyFont="1"/>
    <xf numFmtId="0" fontId="41" fillId="0" borderId="0" xfId="1" applyFont="1" applyAlignment="1">
      <alignment horizontal="left"/>
    </xf>
    <xf numFmtId="0" fontId="41" fillId="0" borderId="0" xfId="1" applyFont="1"/>
    <xf numFmtId="0" fontId="41" fillId="0" borderId="0" xfId="1" applyFont="1" applyAlignment="1">
      <alignment wrapText="1"/>
    </xf>
    <xf numFmtId="0" fontId="2" fillId="0" borderId="0" xfId="1" applyAlignment="1">
      <alignment wrapText="1"/>
    </xf>
    <xf numFmtId="0" fontId="38" fillId="2" borderId="111" xfId="1" applyFont="1" applyFill="1" applyBorder="1" applyAlignment="1">
      <alignment vertical="center"/>
    </xf>
    <xf numFmtId="0" fontId="38" fillId="2" borderId="112" xfId="1" applyFont="1" applyFill="1" applyBorder="1" applyAlignment="1">
      <alignment vertical="center"/>
    </xf>
    <xf numFmtId="0" fontId="38" fillId="2" borderId="76" xfId="1" applyFont="1" applyFill="1" applyBorder="1" applyAlignment="1">
      <alignment vertical="center"/>
    </xf>
    <xf numFmtId="0" fontId="2" fillId="0" borderId="113" xfId="1" applyBorder="1" applyAlignment="1">
      <alignment horizontal="left" vertical="top"/>
    </xf>
    <xf numFmtId="0" fontId="2" fillId="0" borderId="0" xfId="1" applyAlignment="1">
      <alignment horizontal="left" vertical="top"/>
    </xf>
    <xf numFmtId="0" fontId="42" fillId="0" borderId="0" xfId="1" applyFont="1" applyAlignment="1">
      <alignment horizontal="left" vertical="top"/>
    </xf>
    <xf numFmtId="0" fontId="41" fillId="0" borderId="113" xfId="1" applyFont="1" applyBorder="1" applyAlignment="1">
      <alignment horizontal="left" vertical="top"/>
    </xf>
    <xf numFmtId="4" fontId="41" fillId="0" borderId="0" xfId="1" applyNumberFormat="1" applyFont="1" applyAlignment="1">
      <alignment horizontal="left" vertical="top"/>
    </xf>
    <xf numFmtId="0" fontId="43" fillId="0" borderId="0" xfId="1" applyFont="1" applyAlignment="1">
      <alignment horizontal="left" vertical="top"/>
    </xf>
    <xf numFmtId="0" fontId="46" fillId="0" borderId="113" xfId="1" applyFont="1" applyBorder="1" applyAlignment="1">
      <alignment horizontal="left" vertical="top"/>
    </xf>
    <xf numFmtId="166" fontId="2" fillId="0" borderId="0" xfId="1" applyNumberFormat="1" applyAlignment="1">
      <alignment horizontal="left" vertical="top"/>
    </xf>
    <xf numFmtId="0" fontId="2" fillId="0" borderId="0" xfId="1" applyAlignment="1">
      <alignment horizontal="left" vertical="top" wrapText="1"/>
    </xf>
    <xf numFmtId="0" fontId="47" fillId="0" borderId="0" xfId="1" applyFont="1" applyAlignment="1">
      <alignment vertical="top" wrapText="1"/>
    </xf>
    <xf numFmtId="0" fontId="2" fillId="0" borderId="0" xfId="1" applyAlignment="1">
      <alignment horizontal="left"/>
    </xf>
    <xf numFmtId="0" fontId="49" fillId="0" borderId="118" xfId="1" applyFont="1" applyBorder="1" applyAlignment="1">
      <alignment horizontal="center" vertical="center" wrapText="1"/>
    </xf>
    <xf numFmtId="0" fontId="51" fillId="0" borderId="118" xfId="1" applyFont="1" applyBorder="1" applyAlignment="1">
      <alignment vertical="center" wrapText="1"/>
    </xf>
    <xf numFmtId="0" fontId="2" fillId="0" borderId="125" xfId="1" applyBorder="1"/>
    <xf numFmtId="0" fontId="2" fillId="0" borderId="114" xfId="1" applyBorder="1"/>
    <xf numFmtId="0" fontId="2" fillId="0" borderId="115" xfId="1" applyBorder="1"/>
    <xf numFmtId="0" fontId="49" fillId="12" borderId="116" xfId="1" applyFont="1" applyFill="1" applyBorder="1" applyAlignment="1">
      <alignment horizontal="center" vertical="center" wrapText="1"/>
    </xf>
    <xf numFmtId="0" fontId="49" fillId="12" borderId="18" xfId="1" applyFont="1" applyFill="1" applyBorder="1" applyAlignment="1">
      <alignment horizontal="center" vertical="center" wrapText="1"/>
    </xf>
    <xf numFmtId="0" fontId="49" fillId="12" borderId="117" xfId="1" applyFont="1" applyFill="1" applyBorder="1" applyAlignment="1">
      <alignment horizontal="center" vertical="center" wrapText="1"/>
    </xf>
    <xf numFmtId="0" fontId="52" fillId="0" borderId="128" xfId="1" applyFont="1" applyBorder="1" applyAlignment="1">
      <alignment vertical="center" wrapText="1"/>
    </xf>
    <xf numFmtId="0" fontId="53" fillId="0" borderId="0" xfId="0" applyFont="1"/>
    <xf numFmtId="0" fontId="5" fillId="0" borderId="0" xfId="0" applyFont="1"/>
    <xf numFmtId="0" fontId="25" fillId="0" borderId="0" xfId="0" applyFont="1"/>
    <xf numFmtId="1" fontId="25" fillId="0" borderId="0" xfId="0" quotePrefix="1" applyNumberFormat="1" applyFont="1" applyAlignment="1">
      <alignment horizontal="left"/>
    </xf>
    <xf numFmtId="165" fontId="0" fillId="0" borderId="0" xfId="5" applyNumberFormat="1" applyFont="1"/>
    <xf numFmtId="165" fontId="0" fillId="0" borderId="0" xfId="0" applyNumberFormat="1"/>
    <xf numFmtId="0" fontId="29" fillId="0" borderId="72" xfId="1" applyFont="1" applyBorder="1" applyAlignment="1">
      <alignment vertical="center"/>
    </xf>
    <xf numFmtId="0" fontId="29" fillId="4" borderId="7" xfId="1" applyFont="1" applyFill="1" applyBorder="1" applyAlignment="1">
      <alignment vertical="center"/>
    </xf>
    <xf numFmtId="0" fontId="6" fillId="2" borderId="130" xfId="1" applyFont="1" applyFill="1" applyBorder="1" applyAlignment="1">
      <alignment horizontal="center" vertical="center"/>
    </xf>
    <xf numFmtId="0" fontId="29" fillId="4" borderId="14" xfId="1" applyFont="1" applyFill="1" applyBorder="1" applyAlignment="1">
      <alignment horizontal="left" vertical="center"/>
    </xf>
    <xf numFmtId="0" fontId="10" fillId="3" borderId="8" xfId="0" applyFont="1" applyFill="1" applyBorder="1" applyAlignment="1">
      <alignment vertical="center"/>
    </xf>
    <xf numFmtId="0" fontId="10" fillId="3" borderId="0" xfId="0" applyFont="1" applyFill="1" applyAlignment="1">
      <alignment horizontal="right" vertical="center" indent="1"/>
    </xf>
    <xf numFmtId="0" fontId="10" fillId="3" borderId="0" xfId="0" applyFont="1" applyFill="1" applyAlignment="1">
      <alignment horizontal="right" vertical="center" indent="2"/>
    </xf>
    <xf numFmtId="0" fontId="7" fillId="2" borderId="82" xfId="1" applyFont="1" applyFill="1" applyBorder="1" applyAlignment="1">
      <alignment vertical="center"/>
    </xf>
    <xf numFmtId="0" fontId="7" fillId="2" borderId="81" xfId="1" applyFont="1" applyFill="1" applyBorder="1" applyAlignment="1">
      <alignment horizontal="right" vertical="center"/>
    </xf>
    <xf numFmtId="0" fontId="28" fillId="13" borderId="73" xfId="1" applyFont="1" applyFill="1" applyBorder="1" applyAlignment="1">
      <alignment horizontal="left" vertical="center"/>
    </xf>
    <xf numFmtId="0" fontId="11" fillId="13" borderId="9" xfId="0" applyFont="1" applyFill="1" applyBorder="1" applyAlignment="1" applyProtection="1">
      <alignment horizontal="center" vertical="center"/>
      <protection locked="0"/>
    </xf>
    <xf numFmtId="14" fontId="11" fillId="3" borderId="17" xfId="0" applyNumberFormat="1" applyFont="1" applyFill="1" applyBorder="1" applyAlignment="1" applyProtection="1">
      <alignment horizontal="centerContinuous" vertical="center"/>
      <protection locked="0"/>
    </xf>
    <xf numFmtId="0" fontId="11" fillId="3" borderId="18" xfId="0" applyFont="1" applyFill="1" applyBorder="1" applyAlignment="1" applyProtection="1">
      <alignment horizontal="centerContinuous" vertical="center"/>
      <protection locked="0"/>
    </xf>
    <xf numFmtId="0" fontId="11" fillId="3" borderId="19" xfId="0" applyFont="1" applyFill="1" applyBorder="1" applyAlignment="1" applyProtection="1">
      <alignment horizontal="centerContinuous" vertical="center"/>
      <protection locked="0"/>
    </xf>
    <xf numFmtId="0" fontId="11" fillId="3" borderId="17" xfId="0" applyFont="1" applyFill="1" applyBorder="1" applyAlignment="1">
      <alignment horizontal="centerContinuous" vertical="center"/>
    </xf>
    <xf numFmtId="0" fontId="11" fillId="3" borderId="18" xfId="0" applyFont="1" applyFill="1" applyBorder="1" applyAlignment="1">
      <alignment horizontal="centerContinuous" vertical="center"/>
    </xf>
    <xf numFmtId="0" fontId="11" fillId="3" borderId="19" xfId="0" applyFont="1" applyFill="1" applyBorder="1" applyAlignment="1">
      <alignment horizontal="centerContinuous" vertical="center"/>
    </xf>
    <xf numFmtId="164" fontId="10" fillId="13" borderId="43" xfId="5" applyFont="1" applyFill="1" applyBorder="1" applyAlignment="1" applyProtection="1">
      <alignment vertical="center"/>
      <protection locked="0"/>
    </xf>
    <xf numFmtId="0" fontId="55" fillId="0" borderId="0" xfId="0" applyFont="1" applyAlignment="1">
      <alignment horizontal="left" vertical="center"/>
    </xf>
    <xf numFmtId="0" fontId="0" fillId="0" borderId="139" xfId="0" applyBorder="1" applyAlignment="1">
      <alignment vertical="center"/>
    </xf>
    <xf numFmtId="0" fontId="0" fillId="0" borderId="140" xfId="0" applyBorder="1" applyAlignment="1">
      <alignment vertical="center"/>
    </xf>
    <xf numFmtId="0" fontId="0" fillId="0" borderId="0" xfId="0" applyAlignment="1">
      <alignment wrapText="1"/>
    </xf>
    <xf numFmtId="0" fontId="0" fillId="0" borderId="0" xfId="0" quotePrefix="1" applyAlignment="1">
      <alignment wrapText="1"/>
    </xf>
    <xf numFmtId="49" fontId="0" fillId="0" borderId="0" xfId="0" applyNumberFormat="1" applyAlignment="1">
      <alignment wrapText="1"/>
    </xf>
    <xf numFmtId="49" fontId="0" fillId="0" borderId="0" xfId="0" quotePrefix="1" applyNumberFormat="1" applyAlignment="1">
      <alignment wrapText="1"/>
    </xf>
    <xf numFmtId="49" fontId="0" fillId="14" borderId="0" xfId="0" applyNumberFormat="1" applyFill="1" applyAlignment="1">
      <alignment horizontal="center" wrapText="1"/>
    </xf>
    <xf numFmtId="0" fontId="15" fillId="13" borderId="16" xfId="0" applyFont="1" applyFill="1" applyBorder="1" applyAlignment="1">
      <alignment horizontal="center" vertical="center"/>
    </xf>
    <xf numFmtId="0" fontId="15" fillId="13" borderId="22" xfId="0" applyFont="1" applyFill="1" applyBorder="1" applyAlignment="1">
      <alignment horizontal="center" vertical="center"/>
    </xf>
    <xf numFmtId="9" fontId="15" fillId="13" borderId="16" xfId="6" applyFont="1" applyFill="1" applyBorder="1" applyAlignment="1">
      <alignment horizontal="center" vertical="center"/>
    </xf>
    <xf numFmtId="0" fontId="32" fillId="2" borderId="84" xfId="0" applyFont="1" applyFill="1" applyBorder="1" applyAlignment="1">
      <alignment horizontal="center" vertical="center"/>
    </xf>
    <xf numFmtId="0" fontId="33" fillId="10" borderId="90" xfId="0" applyFont="1" applyFill="1" applyBorder="1" applyAlignment="1">
      <alignment horizontal="center" vertical="center" wrapText="1"/>
    </xf>
    <xf numFmtId="164" fontId="54" fillId="0" borderId="41" xfId="2" applyFont="1" applyBorder="1" applyAlignment="1" applyProtection="1">
      <alignment vertical="center"/>
      <protection locked="0"/>
    </xf>
    <xf numFmtId="164" fontId="54" fillId="3" borderId="59" xfId="2" applyFont="1" applyFill="1" applyBorder="1" applyAlignment="1" applyProtection="1">
      <alignment vertical="center"/>
      <protection locked="0"/>
    </xf>
    <xf numFmtId="164" fontId="54" fillId="0" borderId="59" xfId="2" applyFont="1" applyBorder="1" applyAlignment="1" applyProtection="1">
      <alignment vertical="center"/>
      <protection locked="0"/>
    </xf>
    <xf numFmtId="0" fontId="56" fillId="3" borderId="0" xfId="0" applyFont="1" applyFill="1" applyAlignment="1">
      <alignment vertical="center"/>
    </xf>
    <xf numFmtId="0" fontId="56" fillId="3" borderId="0" xfId="0" applyFont="1" applyFill="1" applyAlignment="1">
      <alignment horizontal="left" vertical="center" indent="1"/>
    </xf>
    <xf numFmtId="0" fontId="57" fillId="3" borderId="0" xfId="0" applyFont="1" applyFill="1" applyAlignment="1">
      <alignment vertical="center"/>
    </xf>
    <xf numFmtId="0" fontId="58" fillId="3" borderId="0" xfId="0" applyFont="1" applyFill="1" applyAlignment="1">
      <alignment vertical="center"/>
    </xf>
    <xf numFmtId="0" fontId="59" fillId="3" borderId="0" xfId="0" applyFont="1" applyFill="1" applyAlignment="1" applyProtection="1">
      <alignment vertical="center"/>
      <protection locked="0"/>
    </xf>
    <xf numFmtId="0" fontId="59" fillId="3" borderId="0" xfId="0" applyFont="1" applyFill="1" applyAlignment="1">
      <alignment vertical="center"/>
    </xf>
    <xf numFmtId="39" fontId="54" fillId="0" borderId="41" xfId="2" applyNumberFormat="1" applyFont="1" applyBorder="1" applyAlignment="1" applyProtection="1">
      <alignment horizontal="right" vertical="center"/>
      <protection locked="0"/>
    </xf>
    <xf numFmtId="164" fontId="54" fillId="0" borderId="47" xfId="2" applyFont="1" applyBorder="1" applyAlignment="1" applyProtection="1">
      <alignment horizontal="right" vertical="center"/>
      <protection locked="0"/>
    </xf>
    <xf numFmtId="0" fontId="54" fillId="5" borderId="153" xfId="1" applyFont="1" applyFill="1" applyBorder="1" applyAlignment="1">
      <alignment vertical="center"/>
    </xf>
    <xf numFmtId="0" fontId="60" fillId="0" borderId="40" xfId="1" applyFont="1" applyBorder="1" applyAlignment="1">
      <alignment horizontal="left" vertical="center" indent="1"/>
    </xf>
    <xf numFmtId="39" fontId="54" fillId="0" borderId="41" xfId="2" applyNumberFormat="1" applyFont="1" applyBorder="1" applyAlignment="1" applyProtection="1">
      <alignment vertical="center"/>
      <protection locked="0"/>
    </xf>
    <xf numFmtId="0" fontId="60" fillId="0" borderId="46" xfId="1" applyFont="1" applyBorder="1" applyAlignment="1">
      <alignment horizontal="left" vertical="center" indent="1"/>
    </xf>
    <xf numFmtId="0" fontId="60" fillId="0" borderId="46" xfId="1" applyFont="1" applyBorder="1" applyAlignment="1">
      <alignment horizontal="left" vertical="center" wrapText="1" indent="1"/>
    </xf>
    <xf numFmtId="0" fontId="54" fillId="5" borderId="52" xfId="1" applyFont="1" applyFill="1" applyBorder="1" applyAlignment="1">
      <alignment vertical="center"/>
    </xf>
    <xf numFmtId="0" fontId="60" fillId="0" borderId="58" xfId="1" applyFont="1" applyBorder="1" applyAlignment="1">
      <alignment horizontal="left" vertical="center" indent="1"/>
    </xf>
    <xf numFmtId="0" fontId="60" fillId="0" borderId="64" xfId="1" applyFont="1" applyBorder="1" applyAlignment="1">
      <alignment horizontal="left" vertical="center" indent="1"/>
    </xf>
    <xf numFmtId="0" fontId="10" fillId="3" borderId="0" xfId="0" applyFont="1" applyFill="1" applyAlignment="1" applyProtection="1">
      <alignment horizontal="left" vertical="center"/>
      <protection locked="0"/>
    </xf>
    <xf numFmtId="0" fontId="5" fillId="0" borderId="0" xfId="0" applyFont="1" applyAlignment="1">
      <alignment vertical="center"/>
    </xf>
    <xf numFmtId="0" fontId="10" fillId="5" borderId="169" xfId="0" applyFont="1" applyFill="1" applyBorder="1" applyAlignment="1">
      <alignment vertical="center"/>
    </xf>
    <xf numFmtId="0" fontId="11" fillId="5" borderId="170" xfId="0" applyFont="1" applyFill="1" applyBorder="1" applyAlignment="1">
      <alignment vertical="center"/>
    </xf>
    <xf numFmtId="0" fontId="11" fillId="5" borderId="171" xfId="0" applyFont="1" applyFill="1" applyBorder="1" applyAlignment="1">
      <alignment vertical="center"/>
    </xf>
    <xf numFmtId="164" fontId="10" fillId="0" borderId="176" xfId="5" applyFont="1" applyFill="1" applyBorder="1" applyAlignment="1" applyProtection="1">
      <alignment vertical="center"/>
      <protection locked="0"/>
    </xf>
    <xf numFmtId="0" fontId="11" fillId="5" borderId="169" xfId="0" applyFont="1" applyFill="1" applyBorder="1" applyAlignment="1">
      <alignment vertical="center"/>
    </xf>
    <xf numFmtId="164" fontId="10" fillId="3" borderId="173" xfId="2" applyFont="1" applyFill="1" applyBorder="1" applyAlignment="1" applyProtection="1">
      <alignment vertical="center"/>
      <protection locked="0"/>
    </xf>
    <xf numFmtId="0" fontId="10" fillId="5" borderId="169" xfId="1" applyFont="1" applyFill="1" applyBorder="1" applyAlignment="1">
      <alignment vertical="center"/>
    </xf>
    <xf numFmtId="164" fontId="10" fillId="3" borderId="172" xfId="2" applyFont="1" applyFill="1" applyBorder="1" applyAlignment="1" applyProtection="1">
      <alignment vertical="center"/>
      <protection locked="0"/>
    </xf>
    <xf numFmtId="164" fontId="10" fillId="6" borderId="186" xfId="5" applyFont="1" applyFill="1" applyBorder="1" applyAlignment="1" applyProtection="1">
      <alignment vertical="center"/>
      <protection locked="0"/>
    </xf>
    <xf numFmtId="0" fontId="63" fillId="3" borderId="139" xfId="0" applyFont="1" applyFill="1" applyBorder="1" applyAlignment="1">
      <alignment horizontal="centerContinuous" vertical="center"/>
    </xf>
    <xf numFmtId="0" fontId="63" fillId="3" borderId="0" xfId="0" applyFont="1" applyFill="1" applyAlignment="1">
      <alignment horizontal="centerContinuous" vertical="center"/>
    </xf>
    <xf numFmtId="0" fontId="63" fillId="3" borderId="140" xfId="0" applyFont="1" applyFill="1" applyBorder="1" applyAlignment="1">
      <alignment horizontal="centerContinuous" vertical="center"/>
    </xf>
    <xf numFmtId="0" fontId="62" fillId="3" borderId="0" xfId="0" applyFont="1" applyFill="1" applyAlignment="1">
      <alignment horizontal="centerContinuous" vertical="center"/>
    </xf>
    <xf numFmtId="0" fontId="64" fillId="2" borderId="141" xfId="0" applyFont="1" applyFill="1" applyBorder="1" applyAlignment="1">
      <alignment vertical="center"/>
    </xf>
    <xf numFmtId="0" fontId="65" fillId="2" borderId="11" xfId="0" applyFont="1" applyFill="1" applyBorder="1" applyAlignment="1">
      <alignment vertical="center"/>
    </xf>
    <xf numFmtId="0" fontId="65" fillId="2" borderId="142" xfId="0" applyFont="1" applyFill="1" applyBorder="1" applyAlignment="1">
      <alignment vertical="center"/>
    </xf>
    <xf numFmtId="0" fontId="66" fillId="3" borderId="0" xfId="0" applyFont="1" applyFill="1" applyAlignment="1">
      <alignment vertical="center"/>
    </xf>
    <xf numFmtId="0" fontId="67" fillId="3" borderId="0" xfId="0" applyFont="1" applyFill="1" applyAlignment="1">
      <alignment horizontal="left" vertical="center"/>
    </xf>
    <xf numFmtId="14" fontId="66" fillId="3" borderId="0" xfId="0" applyNumberFormat="1" applyFont="1" applyFill="1" applyAlignment="1">
      <alignment vertical="center"/>
    </xf>
    <xf numFmtId="0" fontId="68" fillId="3" borderId="0" xfId="0" applyFont="1" applyFill="1" applyAlignment="1">
      <alignment vertical="center"/>
    </xf>
    <xf numFmtId="0" fontId="69" fillId="3" borderId="0" xfId="0" applyFont="1" applyFill="1" applyAlignment="1">
      <alignment vertical="center"/>
    </xf>
    <xf numFmtId="0" fontId="68" fillId="3" borderId="0" xfId="0" applyFont="1" applyFill="1" applyAlignment="1">
      <alignment horizontal="left" vertical="center" indent="1"/>
    </xf>
    <xf numFmtId="0" fontId="70" fillId="3" borderId="0" xfId="0" applyFont="1" applyFill="1" applyAlignment="1">
      <alignment vertical="center"/>
    </xf>
    <xf numFmtId="0" fontId="71" fillId="3" borderId="0" xfId="0" applyFont="1" applyFill="1" applyAlignment="1">
      <alignment vertical="center"/>
    </xf>
    <xf numFmtId="0" fontId="72" fillId="3" borderId="0" xfId="0" applyFont="1" applyFill="1" applyAlignment="1" applyProtection="1">
      <alignment vertical="center"/>
      <protection locked="0"/>
    </xf>
    <xf numFmtId="0" fontId="72" fillId="3" borderId="0" xfId="0" applyFont="1" applyFill="1" applyAlignment="1">
      <alignment vertical="center"/>
    </xf>
    <xf numFmtId="0" fontId="74" fillId="3" borderId="0" xfId="0" applyFont="1" applyFill="1" applyAlignment="1">
      <alignment horizontal="left" vertical="center" indent="1"/>
    </xf>
    <xf numFmtId="0" fontId="73" fillId="13" borderId="16" xfId="0" applyFont="1" applyFill="1" applyBorder="1" applyAlignment="1">
      <alignment horizontal="center" vertical="center"/>
    </xf>
    <xf numFmtId="0" fontId="74" fillId="3" borderId="20" xfId="0" applyFont="1" applyFill="1" applyBorder="1" applyAlignment="1">
      <alignment horizontal="left" vertical="center" indent="1"/>
    </xf>
    <xf numFmtId="0" fontId="73" fillId="0" borderId="0" xfId="0" applyFont="1" applyAlignment="1">
      <alignment vertical="center"/>
    </xf>
    <xf numFmtId="0" fontId="73" fillId="0" borderId="21" xfId="0" applyFont="1" applyBorder="1" applyAlignment="1">
      <alignment vertical="center"/>
    </xf>
    <xf numFmtId="0" fontId="73" fillId="13" borderId="22" xfId="0" applyFont="1" applyFill="1" applyBorder="1" applyAlignment="1">
      <alignment horizontal="center" vertical="center"/>
    </xf>
    <xf numFmtId="9" fontId="73" fillId="13" borderId="16" xfId="6" applyFont="1" applyFill="1" applyBorder="1" applyAlignment="1">
      <alignment horizontal="center" vertical="center"/>
    </xf>
    <xf numFmtId="0" fontId="67" fillId="3" borderId="0" xfId="0" applyFont="1" applyFill="1" applyAlignment="1">
      <alignment horizontal="right" vertical="center"/>
    </xf>
    <xf numFmtId="0" fontId="65" fillId="2" borderId="31" xfId="0" applyFont="1" applyFill="1" applyBorder="1" applyAlignment="1">
      <alignment horizontal="center" vertical="center"/>
    </xf>
    <xf numFmtId="0" fontId="65" fillId="2" borderId="33" xfId="0" applyFont="1" applyFill="1" applyBorder="1" applyAlignment="1">
      <alignment horizontal="center" vertical="center"/>
    </xf>
    <xf numFmtId="0" fontId="79" fillId="3" borderId="139" xfId="0" applyFont="1" applyFill="1" applyBorder="1" applyAlignment="1">
      <alignment vertical="center"/>
    </xf>
    <xf numFmtId="0" fontId="79" fillId="3" borderId="0" xfId="0" applyFont="1" applyFill="1" applyAlignment="1">
      <alignment vertical="center"/>
    </xf>
    <xf numFmtId="0" fontId="80" fillId="3" borderId="161" xfId="0" applyFont="1" applyFill="1" applyBorder="1" applyAlignment="1">
      <alignment vertical="center"/>
    </xf>
    <xf numFmtId="0" fontId="80" fillId="3" borderId="162" xfId="0" applyFont="1" applyFill="1" applyBorder="1" applyAlignment="1">
      <alignment vertical="center"/>
    </xf>
    <xf numFmtId="0" fontId="80" fillId="3" borderId="163" xfId="0" applyFont="1" applyFill="1" applyBorder="1" applyAlignment="1">
      <alignment vertical="center"/>
    </xf>
    <xf numFmtId="9" fontId="10" fillId="7" borderId="203" xfId="6" applyFont="1" applyFill="1" applyBorder="1" applyAlignment="1">
      <alignment horizontal="center" vertical="center"/>
    </xf>
    <xf numFmtId="9" fontId="10" fillId="7" borderId="204" xfId="6" applyFont="1" applyFill="1" applyBorder="1" applyAlignment="1">
      <alignment horizontal="center" vertical="center"/>
    </xf>
    <xf numFmtId="0" fontId="13" fillId="2" borderId="210" xfId="0" applyFont="1" applyFill="1" applyBorder="1" applyAlignment="1">
      <alignment horizontal="center" vertical="center"/>
    </xf>
    <xf numFmtId="0" fontId="11" fillId="3" borderId="211" xfId="0" applyFont="1" applyFill="1" applyBorder="1" applyAlignment="1">
      <alignment vertical="center"/>
    </xf>
    <xf numFmtId="0" fontId="11" fillId="3" borderId="212" xfId="0" applyFont="1" applyFill="1" applyBorder="1" applyAlignment="1">
      <alignment vertical="center"/>
    </xf>
    <xf numFmtId="0" fontId="10" fillId="3" borderId="0" xfId="0" applyFont="1" applyFill="1" applyAlignment="1" applyProtection="1">
      <alignment horizontal="center" vertical="center"/>
      <protection locked="0"/>
    </xf>
    <xf numFmtId="0" fontId="13" fillId="2" borderId="214" xfId="0" applyFont="1" applyFill="1" applyBorder="1" applyAlignment="1">
      <alignment horizontal="center" vertical="center"/>
    </xf>
    <xf numFmtId="0" fontId="19" fillId="2" borderId="215" xfId="0" applyFont="1" applyFill="1" applyBorder="1" applyAlignment="1">
      <alignment vertical="center"/>
    </xf>
    <xf numFmtId="0" fontId="13" fillId="2" borderId="216" xfId="0" applyFont="1" applyFill="1" applyBorder="1" applyAlignment="1">
      <alignment horizontal="center" vertical="center"/>
    </xf>
    <xf numFmtId="0" fontId="11" fillId="0" borderId="174" xfId="1" applyFont="1" applyBorder="1" applyAlignment="1">
      <alignment horizontal="left" vertical="center" indent="1"/>
    </xf>
    <xf numFmtId="39" fontId="10" fillId="0" borderId="172" xfId="2" applyNumberFormat="1" applyFont="1" applyFill="1" applyBorder="1" applyAlignment="1" applyProtection="1">
      <alignment vertical="center"/>
      <protection locked="0"/>
    </xf>
    <xf numFmtId="164" fontId="10" fillId="0" borderId="175" xfId="2" applyFont="1" applyFill="1" applyBorder="1" applyAlignment="1" applyProtection="1">
      <alignment vertical="center"/>
      <protection locked="0"/>
    </xf>
    <xf numFmtId="0" fontId="11" fillId="0" borderId="176" xfId="1" applyFont="1" applyBorder="1" applyAlignment="1">
      <alignment horizontal="left" vertical="center" indent="1"/>
    </xf>
    <xf numFmtId="164" fontId="10" fillId="0" borderId="173" xfId="2" applyFont="1" applyFill="1" applyBorder="1" applyAlignment="1" applyProtection="1">
      <alignment vertical="center"/>
      <protection locked="0"/>
    </xf>
    <xf numFmtId="164" fontId="54" fillId="0" borderId="177" xfId="2" applyFont="1" applyBorder="1" applyAlignment="1" applyProtection="1">
      <alignment vertical="center"/>
      <protection locked="0"/>
    </xf>
    <xf numFmtId="0" fontId="11" fillId="0" borderId="217" xfId="1" applyFont="1" applyBorder="1" applyAlignment="1">
      <alignment horizontal="left" vertical="center" wrapText="1" indent="1"/>
    </xf>
    <xf numFmtId="164" fontId="10" fillId="0" borderId="218" xfId="2" applyFont="1" applyFill="1" applyBorder="1" applyAlignment="1" applyProtection="1">
      <alignment vertical="center"/>
      <protection locked="0"/>
    </xf>
    <xf numFmtId="164" fontId="54" fillId="0" borderId="219" xfId="2" applyFont="1" applyBorder="1" applyAlignment="1" applyProtection="1">
      <alignment vertical="center"/>
      <protection locked="0"/>
    </xf>
    <xf numFmtId="164" fontId="10" fillId="0" borderId="174" xfId="5" applyFont="1" applyFill="1" applyBorder="1" applyAlignment="1" applyProtection="1">
      <alignment vertical="center"/>
      <protection locked="0"/>
    </xf>
    <xf numFmtId="164" fontId="10" fillId="0" borderId="172" xfId="5" applyFont="1" applyFill="1" applyBorder="1" applyAlignment="1" applyProtection="1">
      <alignment vertical="center"/>
      <protection locked="0"/>
    </xf>
    <xf numFmtId="164" fontId="10" fillId="0" borderId="175" xfId="5" applyFont="1" applyFill="1" applyBorder="1" applyAlignment="1" applyProtection="1">
      <alignment vertical="center"/>
      <protection locked="0"/>
    </xf>
    <xf numFmtId="164" fontId="10" fillId="0" borderId="173" xfId="5" applyFont="1" applyFill="1" applyBorder="1" applyAlignment="1" applyProtection="1">
      <alignment vertical="center"/>
      <protection locked="0"/>
    </xf>
    <xf numFmtId="164" fontId="10" fillId="0" borderId="189" xfId="5" applyFont="1" applyFill="1" applyBorder="1" applyAlignment="1" applyProtection="1">
      <alignment vertical="center"/>
      <protection locked="0"/>
    </xf>
    <xf numFmtId="164" fontId="10" fillId="0" borderId="183" xfId="5" applyFont="1" applyFill="1" applyBorder="1" applyAlignment="1" applyProtection="1">
      <alignment vertical="center"/>
      <protection locked="0"/>
    </xf>
    <xf numFmtId="164" fontId="10" fillId="0" borderId="177" xfId="2" applyFont="1" applyFill="1" applyBorder="1" applyAlignment="1" applyProtection="1">
      <alignment vertical="center"/>
      <protection locked="0"/>
    </xf>
    <xf numFmtId="0" fontId="10" fillId="3" borderId="211" xfId="0" applyFont="1" applyFill="1" applyBorder="1" applyAlignment="1">
      <alignment vertical="center"/>
    </xf>
    <xf numFmtId="0" fontId="10" fillId="5" borderId="220" xfId="1" applyFont="1" applyFill="1" applyBorder="1" applyAlignment="1">
      <alignment vertical="center"/>
    </xf>
    <xf numFmtId="39" fontId="10" fillId="5" borderId="221" xfId="0" applyNumberFormat="1" applyFont="1" applyFill="1" applyBorder="1" applyAlignment="1">
      <alignment vertical="center"/>
    </xf>
    <xf numFmtId="39" fontId="10" fillId="5" borderId="222" xfId="0" applyNumberFormat="1" applyFont="1" applyFill="1" applyBorder="1" applyAlignment="1">
      <alignment horizontal="right" vertical="center"/>
    </xf>
    <xf numFmtId="0" fontId="11" fillId="0" borderId="186" xfId="1" applyFont="1" applyBorder="1" applyAlignment="1">
      <alignment horizontal="left" vertical="center" indent="1"/>
    </xf>
    <xf numFmtId="164" fontId="54" fillId="3" borderId="184" xfId="2" applyFont="1" applyFill="1" applyBorder="1" applyAlignment="1" applyProtection="1">
      <alignment vertical="center"/>
      <protection locked="0"/>
    </xf>
    <xf numFmtId="164" fontId="54" fillId="0" borderId="185" xfId="2" applyFont="1" applyBorder="1" applyAlignment="1" applyProtection="1">
      <alignment vertical="center"/>
      <protection locked="0"/>
    </xf>
    <xf numFmtId="164" fontId="10" fillId="5" borderId="220" xfId="0" applyNumberFormat="1" applyFont="1" applyFill="1" applyBorder="1" applyAlignment="1">
      <alignment vertical="center"/>
    </xf>
    <xf numFmtId="164" fontId="10" fillId="5" borderId="221" xfId="0" applyNumberFormat="1" applyFont="1" applyFill="1" applyBorder="1" applyAlignment="1">
      <alignment horizontal="center" vertical="center"/>
    </xf>
    <xf numFmtId="164" fontId="10" fillId="5" borderId="221" xfId="0" applyNumberFormat="1" applyFont="1" applyFill="1" applyBorder="1" applyAlignment="1">
      <alignment vertical="center"/>
    </xf>
    <xf numFmtId="164" fontId="10" fillId="5" borderId="222" xfId="0" applyNumberFormat="1" applyFont="1" applyFill="1" applyBorder="1" applyAlignment="1">
      <alignment horizontal="center" vertical="center"/>
    </xf>
    <xf numFmtId="164" fontId="10" fillId="0" borderId="184" xfId="5" applyFont="1" applyFill="1" applyBorder="1" applyAlignment="1" applyProtection="1">
      <alignment vertical="center"/>
      <protection locked="0"/>
    </xf>
    <xf numFmtId="9" fontId="10" fillId="7" borderId="205" xfId="6" applyFont="1" applyFill="1" applyBorder="1" applyAlignment="1">
      <alignment horizontal="center" vertical="center"/>
    </xf>
    <xf numFmtId="0" fontId="19" fillId="2" borderId="213" xfId="0" applyFont="1" applyFill="1" applyBorder="1" applyAlignment="1">
      <alignment horizontal="left" vertical="center" indent="7"/>
    </xf>
    <xf numFmtId="0" fontId="19" fillId="2" borderId="215" xfId="0" applyFont="1" applyFill="1" applyBorder="1" applyAlignment="1">
      <alignment horizontal="left" vertical="center" indent="7"/>
    </xf>
    <xf numFmtId="0" fontId="19" fillId="2" borderId="199" xfId="0" applyFont="1" applyFill="1" applyBorder="1" applyAlignment="1">
      <alignment horizontal="left" vertical="center" indent="7"/>
    </xf>
    <xf numFmtId="0" fontId="19" fillId="2" borderId="200" xfId="0" applyFont="1" applyFill="1" applyBorder="1" applyAlignment="1">
      <alignment vertical="center" indent="6"/>
    </xf>
    <xf numFmtId="0" fontId="19" fillId="2" borderId="201" xfId="0" applyFont="1" applyFill="1" applyBorder="1" applyAlignment="1">
      <alignment horizontal="left" vertical="center" indent="7"/>
    </xf>
    <xf numFmtId="0" fontId="19" fillId="2" borderId="202" xfId="0" applyFont="1" applyFill="1" applyBorder="1" applyAlignment="1">
      <alignment vertical="center" indent="6"/>
    </xf>
    <xf numFmtId="0" fontId="81" fillId="3" borderId="0" xfId="0" applyFont="1" applyFill="1" applyAlignment="1">
      <alignment vertical="center"/>
    </xf>
    <xf numFmtId="165" fontId="33" fillId="13" borderId="16" xfId="5" applyNumberFormat="1" applyFont="1" applyFill="1" applyBorder="1" applyAlignment="1">
      <alignment horizontal="center" vertical="center"/>
    </xf>
    <xf numFmtId="165" fontId="33" fillId="13" borderId="96" xfId="5" applyNumberFormat="1" applyFont="1" applyFill="1" applyBorder="1" applyAlignment="1">
      <alignment horizontal="center" vertical="center"/>
    </xf>
    <xf numFmtId="0" fontId="33" fillId="13" borderId="16" xfId="0" applyFont="1" applyFill="1" applyBorder="1" applyAlignment="1">
      <alignment horizontal="center" vertical="center"/>
    </xf>
    <xf numFmtId="0" fontId="33" fillId="13" borderId="96" xfId="0" applyFont="1" applyFill="1" applyBorder="1" applyAlignment="1">
      <alignment horizontal="center" vertical="center"/>
    </xf>
    <xf numFmtId="0" fontId="54" fillId="3" borderId="0" xfId="0" applyFont="1" applyFill="1" applyAlignment="1">
      <alignment vertical="center"/>
    </xf>
    <xf numFmtId="0" fontId="60" fillId="3" borderId="0" xfId="0" applyFont="1" applyFill="1" applyAlignment="1">
      <alignment vertical="center"/>
    </xf>
    <xf numFmtId="0" fontId="9" fillId="3" borderId="0" xfId="0" applyFont="1" applyFill="1" applyAlignment="1" applyProtection="1">
      <alignment vertical="center"/>
      <protection locked="0"/>
    </xf>
    <xf numFmtId="0" fontId="83" fillId="0" borderId="0" xfId="0" applyFont="1"/>
    <xf numFmtId="0" fontId="10" fillId="3" borderId="0" xfId="0" applyFont="1" applyFill="1" applyAlignment="1" applyProtection="1">
      <alignment vertical="center"/>
      <protection locked="0"/>
    </xf>
    <xf numFmtId="0" fontId="2" fillId="0" borderId="226" xfId="1" applyBorder="1"/>
    <xf numFmtId="0" fontId="35" fillId="2" borderId="227" xfId="1" applyFont="1" applyFill="1" applyBorder="1" applyAlignment="1">
      <alignment horizontal="center" vertical="center"/>
    </xf>
    <xf numFmtId="0" fontId="35" fillId="2" borderId="228" xfId="1" applyFont="1" applyFill="1" applyBorder="1" applyAlignment="1">
      <alignment horizontal="center" vertical="center"/>
    </xf>
    <xf numFmtId="0" fontId="35" fillId="2" borderId="229" xfId="1" applyFont="1" applyFill="1" applyBorder="1" applyAlignment="1">
      <alignment horizontal="center" vertical="center"/>
    </xf>
    <xf numFmtId="0" fontId="2" fillId="0" borderId="139" xfId="1" applyBorder="1"/>
    <xf numFmtId="0" fontId="2" fillId="0" borderId="140" xfId="1" applyBorder="1"/>
    <xf numFmtId="0" fontId="2" fillId="0" borderId="139" xfId="1" applyBorder="1" applyAlignment="1">
      <alignment horizontal="left" indent="1"/>
    </xf>
    <xf numFmtId="0" fontId="38" fillId="2" borderId="232" xfId="1" applyFont="1" applyFill="1" applyBorder="1" applyAlignment="1">
      <alignment vertical="center"/>
    </xf>
    <xf numFmtId="0" fontId="38" fillId="2" borderId="233" xfId="1" applyFont="1" applyFill="1" applyBorder="1" applyAlignment="1">
      <alignment vertical="center"/>
    </xf>
    <xf numFmtId="0" fontId="2" fillId="0" borderId="139" xfId="1" applyBorder="1" applyAlignment="1">
      <alignment horizontal="left" vertical="top"/>
    </xf>
    <xf numFmtId="0" fontId="2" fillId="0" borderId="140" xfId="1" applyBorder="1" applyAlignment="1">
      <alignment horizontal="left" vertical="top"/>
    </xf>
    <xf numFmtId="0" fontId="42" fillId="0" borderId="140" xfId="1" applyFont="1" applyBorder="1" applyAlignment="1">
      <alignment horizontal="left" vertical="top"/>
    </xf>
    <xf numFmtId="0" fontId="41" fillId="0" borderId="139" xfId="1" applyFont="1" applyBorder="1" applyAlignment="1">
      <alignment horizontal="left" vertical="top"/>
    </xf>
    <xf numFmtId="0" fontId="82" fillId="0" borderId="0" xfId="1" applyFont="1" applyAlignment="1">
      <alignment horizontal="left" vertical="top"/>
    </xf>
    <xf numFmtId="0" fontId="46" fillId="0" borderId="139" xfId="1" applyFont="1" applyBorder="1" applyAlignment="1">
      <alignment horizontal="left" vertical="top"/>
    </xf>
    <xf numFmtId="0" fontId="2" fillId="0" borderId="140" xfId="1" applyBorder="1" applyAlignment="1">
      <alignment horizontal="left" vertical="top" wrapText="1"/>
    </xf>
    <xf numFmtId="0" fontId="41" fillId="0" borderId="139" xfId="1" applyFont="1" applyBorder="1" applyAlignment="1">
      <alignment horizontal="left" vertical="top" wrapText="1"/>
    </xf>
    <xf numFmtId="0" fontId="61" fillId="0" borderId="0" xfId="1" applyFont="1" applyAlignment="1">
      <alignment horizontal="left" vertical="top" wrapText="1"/>
    </xf>
    <xf numFmtId="0" fontId="2" fillId="0" borderId="140" xfId="1" applyBorder="1" applyAlignment="1">
      <alignment wrapText="1"/>
    </xf>
    <xf numFmtId="0" fontId="2" fillId="0" borderId="238" xfId="1" applyBorder="1"/>
    <xf numFmtId="0" fontId="49" fillId="12" borderId="230" xfId="1" applyFont="1" applyFill="1" applyBorder="1" applyAlignment="1">
      <alignment horizontal="center" vertical="center" wrapText="1"/>
    </xf>
    <xf numFmtId="0" fontId="49" fillId="12" borderId="231" xfId="1" applyFont="1" applyFill="1" applyBorder="1" applyAlignment="1">
      <alignment horizontal="center" vertical="center" wrapText="1"/>
    </xf>
    <xf numFmtId="0" fontId="38" fillId="2" borderId="241" xfId="1" applyFont="1" applyFill="1" applyBorder="1" applyAlignment="1">
      <alignment vertical="center"/>
    </xf>
    <xf numFmtId="0" fontId="38" fillId="2" borderId="242" xfId="1" applyFont="1" applyFill="1" applyBorder="1" applyAlignment="1">
      <alignment vertical="center"/>
    </xf>
    <xf numFmtId="0" fontId="38" fillId="2" borderId="243" xfId="1" applyFont="1" applyFill="1" applyBorder="1" applyAlignment="1">
      <alignment vertical="center"/>
    </xf>
    <xf numFmtId="0" fontId="1" fillId="0" borderId="139" xfId="0" applyFont="1" applyBorder="1" applyAlignment="1">
      <alignment vertical="center"/>
    </xf>
    <xf numFmtId="0" fontId="1" fillId="0" borderId="0" xfId="0" applyFont="1" applyAlignment="1">
      <alignment vertical="center"/>
    </xf>
    <xf numFmtId="0" fontId="1" fillId="0" borderId="140" xfId="0" applyFont="1" applyBorder="1" applyAlignment="1">
      <alignment vertical="center"/>
    </xf>
    <xf numFmtId="0" fontId="1" fillId="3" borderId="0" xfId="0" applyFont="1" applyFill="1" applyAlignment="1">
      <alignment vertical="center"/>
    </xf>
    <xf numFmtId="39" fontId="10" fillId="5" borderId="55" xfId="0" applyNumberFormat="1" applyFont="1" applyFill="1" applyBorder="1" applyAlignment="1">
      <alignment horizontal="right" vertical="center"/>
    </xf>
    <xf numFmtId="164" fontId="10" fillId="5" borderId="55" xfId="0" applyNumberFormat="1" applyFont="1" applyFill="1" applyBorder="1" applyAlignment="1">
      <alignment horizontal="center" vertical="center"/>
    </xf>
    <xf numFmtId="0" fontId="54" fillId="3" borderId="139" xfId="0" applyFont="1" applyFill="1" applyBorder="1" applyAlignment="1">
      <alignment vertical="center"/>
    </xf>
    <xf numFmtId="0" fontId="60" fillId="13" borderId="9" xfId="0" applyFont="1" applyFill="1" applyBorder="1" applyAlignment="1" applyProtection="1">
      <alignment horizontal="center" vertical="center"/>
      <protection locked="0"/>
    </xf>
    <xf numFmtId="0" fontId="54" fillId="3" borderId="0" xfId="0" applyFont="1" applyFill="1" applyAlignment="1" applyProtection="1">
      <alignment vertical="center"/>
      <protection locked="0"/>
    </xf>
    <xf numFmtId="0" fontId="54" fillId="3" borderId="0" xfId="0" applyFont="1" applyFill="1" applyAlignment="1" applyProtection="1">
      <alignment vertical="center" wrapText="1" indent="1"/>
      <protection locked="0"/>
    </xf>
    <xf numFmtId="0" fontId="60" fillId="3" borderId="140" xfId="0" applyFont="1" applyFill="1" applyBorder="1" applyAlignment="1">
      <alignment vertical="center"/>
    </xf>
    <xf numFmtId="0" fontId="60" fillId="3" borderId="139" xfId="0" applyFont="1" applyFill="1" applyBorder="1" applyAlignment="1">
      <alignment vertical="center"/>
    </xf>
    <xf numFmtId="0" fontId="54" fillId="3" borderId="0" xfId="0" applyFont="1" applyFill="1" applyAlignment="1">
      <alignment horizontal="left" vertical="center" indent="1"/>
    </xf>
    <xf numFmtId="14" fontId="54" fillId="3" borderId="0" xfId="0" applyNumberFormat="1" applyFont="1" applyFill="1" applyAlignment="1">
      <alignment vertical="center"/>
    </xf>
    <xf numFmtId="0" fontId="54" fillId="3" borderId="139" xfId="0" applyFont="1" applyFill="1" applyBorder="1" applyAlignment="1">
      <alignment horizontal="left" vertical="center"/>
    </xf>
    <xf numFmtId="0" fontId="54" fillId="3" borderId="0" xfId="0" applyFont="1" applyFill="1" applyAlignment="1">
      <alignment horizontal="left" vertical="center"/>
    </xf>
    <xf numFmtId="0" fontId="54" fillId="3" borderId="0" xfId="0" applyFont="1" applyFill="1" applyAlignment="1">
      <alignment horizontal="center" vertical="center"/>
    </xf>
    <xf numFmtId="0" fontId="60" fillId="3" borderId="139" xfId="0" applyFont="1" applyFill="1" applyBorder="1" applyAlignment="1">
      <alignment horizontal="left" vertical="center" indent="1"/>
    </xf>
    <xf numFmtId="0" fontId="60" fillId="3" borderId="0" xfId="0" applyFont="1" applyFill="1" applyAlignment="1">
      <alignment horizontal="center" vertical="center"/>
    </xf>
    <xf numFmtId="0" fontId="54" fillId="3" borderId="0" xfId="0" applyFont="1" applyFill="1" applyAlignment="1">
      <alignment horizontal="right" vertical="center"/>
    </xf>
    <xf numFmtId="0" fontId="60" fillId="3" borderId="18" xfId="0" applyFont="1" applyFill="1" applyBorder="1" applyAlignment="1">
      <alignment horizontal="centerContinuous" vertical="center"/>
    </xf>
    <xf numFmtId="0" fontId="60" fillId="3" borderId="19" xfId="0" applyFont="1" applyFill="1" applyBorder="1" applyAlignment="1">
      <alignment horizontal="centerContinuous" vertical="center"/>
    </xf>
    <xf numFmtId="0" fontId="54" fillId="3" borderId="0" xfId="0" applyFont="1" applyFill="1" applyAlignment="1">
      <alignment horizontal="right" vertical="center" indent="1"/>
    </xf>
    <xf numFmtId="0" fontId="54" fillId="3" borderId="0" xfId="0" applyFont="1" applyFill="1" applyAlignment="1">
      <alignment horizontal="right" vertical="center" indent="2"/>
    </xf>
    <xf numFmtId="0" fontId="54" fillId="3" borderId="140" xfId="0" applyFont="1" applyFill="1" applyBorder="1" applyAlignment="1">
      <alignment vertical="center"/>
    </xf>
    <xf numFmtId="0" fontId="54" fillId="5" borderId="190" xfId="0" applyFont="1" applyFill="1" applyBorder="1" applyAlignment="1">
      <alignment vertical="center"/>
    </xf>
    <xf numFmtId="0" fontId="60" fillId="5" borderId="170" xfId="0" applyFont="1" applyFill="1" applyBorder="1" applyAlignment="1">
      <alignment vertical="center"/>
    </xf>
    <xf numFmtId="0" fontId="60" fillId="5" borderId="171" xfId="0" applyFont="1" applyFill="1" applyBorder="1" applyAlignment="1">
      <alignment vertical="center"/>
    </xf>
    <xf numFmtId="0" fontId="60" fillId="5" borderId="169" xfId="0" applyFont="1" applyFill="1" applyBorder="1" applyAlignment="1">
      <alignment vertical="center"/>
    </xf>
    <xf numFmtId="0" fontId="60" fillId="5" borderId="191" xfId="0" applyFont="1" applyFill="1" applyBorder="1" applyAlignment="1">
      <alignment vertical="center"/>
    </xf>
    <xf numFmtId="39" fontId="54" fillId="0" borderId="172" xfId="2" applyNumberFormat="1" applyFont="1" applyFill="1" applyBorder="1" applyAlignment="1" applyProtection="1">
      <alignment vertical="center"/>
      <protection locked="0"/>
    </xf>
    <xf numFmtId="0" fontId="60" fillId="0" borderId="0" xfId="0" applyFont="1" applyAlignment="1">
      <alignment vertical="center"/>
    </xf>
    <xf numFmtId="164" fontId="54" fillId="13" borderId="174" xfId="5" applyFont="1" applyFill="1" applyBorder="1" applyAlignment="1" applyProtection="1">
      <alignment horizontal="right" vertical="center"/>
      <protection locked="0"/>
    </xf>
    <xf numFmtId="164" fontId="54" fillId="0" borderId="173" xfId="2" applyFont="1" applyFill="1" applyBorder="1" applyAlignment="1" applyProtection="1">
      <alignment vertical="center"/>
      <protection locked="0"/>
    </xf>
    <xf numFmtId="164" fontId="54" fillId="0" borderId="176" xfId="5" applyFont="1" applyFill="1" applyBorder="1" applyAlignment="1" applyProtection="1">
      <alignment horizontal="right" vertical="center"/>
      <protection locked="0"/>
    </xf>
    <xf numFmtId="164" fontId="54" fillId="0" borderId="179" xfId="2" applyFont="1" applyFill="1" applyBorder="1" applyAlignment="1" applyProtection="1">
      <alignment vertical="center"/>
      <protection locked="0"/>
    </xf>
    <xf numFmtId="4" fontId="54" fillId="0" borderId="178" xfId="0" applyNumberFormat="1" applyFont="1" applyBorder="1" applyAlignment="1">
      <alignment horizontal="right" vertical="center"/>
    </xf>
    <xf numFmtId="0" fontId="54" fillId="5" borderId="190" xfId="1" applyFont="1" applyFill="1" applyBorder="1" applyAlignment="1">
      <alignment vertical="center"/>
    </xf>
    <xf numFmtId="164" fontId="54" fillId="3" borderId="172" xfId="2" applyFont="1" applyFill="1" applyBorder="1" applyAlignment="1" applyProtection="1">
      <alignment vertical="center"/>
      <protection locked="0"/>
    </xf>
    <xf numFmtId="164" fontId="54" fillId="0" borderId="176" xfId="5" applyFont="1" applyFill="1" applyBorder="1" applyAlignment="1" applyProtection="1">
      <alignment vertical="center"/>
      <protection locked="0"/>
    </xf>
    <xf numFmtId="164" fontId="54" fillId="3" borderId="173" xfId="2" applyFont="1" applyFill="1" applyBorder="1" applyAlignment="1" applyProtection="1">
      <alignment vertical="center"/>
      <protection locked="0"/>
    </xf>
    <xf numFmtId="164" fontId="54" fillId="3" borderId="184" xfId="5" applyFont="1" applyFill="1" applyBorder="1" applyAlignment="1" applyProtection="1">
      <alignment vertical="center"/>
      <protection locked="0"/>
    </xf>
    <xf numFmtId="164" fontId="54" fillId="6" borderId="186" xfId="5" applyFont="1" applyFill="1" applyBorder="1" applyAlignment="1" applyProtection="1">
      <alignment vertical="center"/>
      <protection locked="0"/>
    </xf>
    <xf numFmtId="39" fontId="54" fillId="5" borderId="169" xfId="0" applyNumberFormat="1" applyFont="1" applyFill="1" applyBorder="1" applyAlignment="1">
      <alignment vertical="center"/>
    </xf>
    <xf numFmtId="164" fontId="54" fillId="5" borderId="169" xfId="0" applyNumberFormat="1" applyFont="1" applyFill="1" applyBorder="1" applyAlignment="1">
      <alignment vertical="center"/>
    </xf>
    <xf numFmtId="0" fontId="54" fillId="0" borderId="0" xfId="0" applyFont="1" applyAlignment="1">
      <alignment vertical="center"/>
    </xf>
    <xf numFmtId="0" fontId="54" fillId="7" borderId="70" xfId="0" applyFont="1" applyFill="1" applyBorder="1" applyAlignment="1">
      <alignment horizontal="center" vertical="center"/>
    </xf>
    <xf numFmtId="9" fontId="54" fillId="7" borderId="70" xfId="0" applyNumberFormat="1" applyFont="1" applyFill="1" applyBorder="1" applyAlignment="1">
      <alignment horizontal="center" vertical="center"/>
    </xf>
    <xf numFmtId="0" fontId="54" fillId="0" borderId="0" xfId="0" applyFont="1" applyAlignment="1">
      <alignment horizontal="left" vertical="center" wrapText="1"/>
    </xf>
    <xf numFmtId="9" fontId="54" fillId="0" borderId="0" xfId="6" applyFont="1" applyFill="1" applyBorder="1" applyAlignment="1">
      <alignment vertical="center"/>
    </xf>
    <xf numFmtId="9" fontId="54" fillId="0" borderId="140" xfId="6" applyFont="1" applyFill="1" applyBorder="1" applyAlignment="1">
      <alignment vertical="center"/>
    </xf>
    <xf numFmtId="0" fontId="60" fillId="0" borderId="139" xfId="0" applyFont="1" applyBorder="1" applyAlignment="1">
      <alignment vertical="center"/>
    </xf>
    <xf numFmtId="0" fontId="54" fillId="0" borderId="0" xfId="0" applyFont="1" applyAlignment="1">
      <alignment horizontal="left" vertical="center"/>
    </xf>
    <xf numFmtId="164" fontId="60" fillId="0" borderId="0" xfId="5" applyFont="1" applyFill="1" applyBorder="1" applyAlignment="1">
      <alignment horizontal="center" vertical="center"/>
    </xf>
    <xf numFmtId="164" fontId="60" fillId="0" borderId="140" xfId="5" applyFont="1" applyFill="1" applyBorder="1" applyAlignment="1">
      <alignment horizontal="center" vertical="center"/>
    </xf>
    <xf numFmtId="0" fontId="54" fillId="5" borderId="170" xfId="0" applyFont="1" applyFill="1" applyBorder="1" applyAlignment="1">
      <alignment vertical="center"/>
    </xf>
    <xf numFmtId="0" fontId="60" fillId="5" borderId="170" xfId="0" quotePrefix="1" applyFont="1" applyFill="1" applyBorder="1" applyAlignment="1">
      <alignment horizontal="left" vertical="center" wrapText="1"/>
    </xf>
    <xf numFmtId="0" fontId="60" fillId="5" borderId="170" xfId="0" applyFont="1" applyFill="1" applyBorder="1" applyAlignment="1">
      <alignment horizontal="left" vertical="center" wrapText="1"/>
    </xf>
    <xf numFmtId="9" fontId="60" fillId="5" borderId="170" xfId="6" applyFont="1" applyFill="1" applyBorder="1" applyAlignment="1">
      <alignment horizontal="left" vertical="center"/>
    </xf>
    <xf numFmtId="9" fontId="60" fillId="5" borderId="191" xfId="6" applyFont="1" applyFill="1" applyBorder="1" applyAlignment="1">
      <alignment horizontal="left" vertical="center"/>
    </xf>
    <xf numFmtId="0" fontId="60" fillId="0" borderId="140" xfId="0" applyFont="1" applyBorder="1" applyAlignment="1">
      <alignment vertical="center"/>
    </xf>
    <xf numFmtId="0" fontId="54" fillId="3" borderId="139" xfId="0" applyFont="1" applyFill="1" applyBorder="1" applyAlignment="1" applyProtection="1">
      <alignment vertical="center"/>
      <protection locked="0"/>
    </xf>
    <xf numFmtId="0" fontId="60" fillId="3" borderId="0" xfId="0" applyFont="1" applyFill="1" applyAlignment="1" applyProtection="1">
      <alignment vertical="center"/>
      <protection locked="0"/>
    </xf>
    <xf numFmtId="164" fontId="10" fillId="0" borderId="176" xfId="5" applyFont="1" applyBorder="1" applyAlignment="1" applyProtection="1">
      <alignment vertical="center"/>
      <protection locked="0"/>
    </xf>
    <xf numFmtId="164" fontId="10" fillId="0" borderId="173" xfId="5" applyFont="1" applyBorder="1" applyAlignment="1" applyProtection="1">
      <alignment vertical="center"/>
      <protection locked="0"/>
    </xf>
    <xf numFmtId="164" fontId="10" fillId="0" borderId="189" xfId="5" applyFont="1" applyBorder="1" applyAlignment="1" applyProtection="1">
      <alignment vertical="center"/>
      <protection locked="0"/>
    </xf>
    <xf numFmtId="164" fontId="10" fillId="0" borderId="183" xfId="5" applyFont="1" applyBorder="1" applyAlignment="1" applyProtection="1">
      <alignment vertical="center"/>
      <protection locked="0"/>
    </xf>
    <xf numFmtId="164" fontId="10" fillId="0" borderId="174" xfId="5" applyFont="1" applyBorder="1" applyAlignment="1" applyProtection="1">
      <alignment vertical="center"/>
      <protection locked="0"/>
    </xf>
    <xf numFmtId="164" fontId="10" fillId="0" borderId="172" xfId="5" applyFont="1" applyBorder="1" applyAlignment="1" applyProtection="1">
      <alignment vertical="center"/>
      <protection locked="0"/>
    </xf>
    <xf numFmtId="164" fontId="10" fillId="0" borderId="184" xfId="5" applyFont="1" applyBorder="1" applyAlignment="1" applyProtection="1">
      <alignment vertical="center"/>
      <protection locked="0"/>
    </xf>
    <xf numFmtId="0" fontId="8" fillId="3" borderId="139" xfId="0" applyFont="1" applyFill="1" applyBorder="1" applyAlignment="1">
      <alignment horizontal="centerContinuous" vertical="center"/>
    </xf>
    <xf numFmtId="0" fontId="8" fillId="3" borderId="140" xfId="0" applyFont="1" applyFill="1" applyBorder="1" applyAlignment="1">
      <alignment horizontal="centerContinuous" vertical="center"/>
    </xf>
    <xf numFmtId="0" fontId="10" fillId="3" borderId="139" xfId="0" applyFont="1" applyFill="1" applyBorder="1" applyAlignment="1">
      <alignment vertical="center"/>
    </xf>
    <xf numFmtId="0" fontId="11" fillId="3" borderId="140" xfId="0" applyFont="1" applyFill="1" applyBorder="1" applyAlignment="1">
      <alignment vertical="center"/>
    </xf>
    <xf numFmtId="0" fontId="6" fillId="3" borderId="0" xfId="0" applyFont="1" applyFill="1" applyAlignment="1">
      <alignment horizontal="centerContinuous" vertical="center"/>
    </xf>
    <xf numFmtId="0" fontId="12" fillId="2" borderId="141" xfId="0" applyFont="1" applyFill="1" applyBorder="1" applyAlignment="1">
      <alignment vertical="center"/>
    </xf>
    <xf numFmtId="0" fontId="13" fillId="2" borderId="142" xfId="0" applyFont="1" applyFill="1" applyBorder="1" applyAlignment="1">
      <alignment vertical="center"/>
    </xf>
    <xf numFmtId="0" fontId="11" fillId="3" borderId="139" xfId="0" applyFont="1" applyFill="1" applyBorder="1" applyAlignment="1">
      <alignment vertical="center"/>
    </xf>
    <xf numFmtId="0" fontId="10" fillId="3" borderId="0" xfId="0" applyFont="1" applyFill="1" applyAlignment="1">
      <alignment horizontal="left" vertical="center" indent="1"/>
    </xf>
    <xf numFmtId="14" fontId="10" fillId="3" borderId="0" xfId="0" applyNumberFormat="1" applyFont="1" applyFill="1" applyAlignment="1">
      <alignment vertical="center"/>
    </xf>
    <xf numFmtId="0" fontId="10" fillId="3" borderId="0" xfId="0" applyFont="1" applyFill="1" applyAlignment="1">
      <alignment horizontal="center" vertical="center"/>
    </xf>
    <xf numFmtId="0" fontId="15" fillId="0" borderId="16" xfId="0" applyFont="1" applyBorder="1" applyAlignment="1">
      <alignment horizontal="center" vertical="center"/>
    </xf>
    <xf numFmtId="0" fontId="15" fillId="0" borderId="22" xfId="0" applyFont="1" applyBorder="1" applyAlignment="1">
      <alignment horizontal="center" vertical="center"/>
    </xf>
    <xf numFmtId="9" fontId="15" fillId="0" borderId="16" xfId="6" applyFont="1" applyFill="1" applyBorder="1" applyAlignment="1">
      <alignment horizontal="center" vertical="center"/>
    </xf>
    <xf numFmtId="0" fontId="11" fillId="3" borderId="139" xfId="0" applyFont="1" applyFill="1" applyBorder="1" applyAlignment="1">
      <alignment horizontal="left" vertical="center" indent="1"/>
    </xf>
    <xf numFmtId="0" fontId="10" fillId="3" borderId="140" xfId="0" applyFont="1" applyFill="1" applyBorder="1" applyAlignment="1">
      <alignment vertical="center"/>
    </xf>
    <xf numFmtId="0" fontId="10" fillId="5" borderId="147" xfId="0" applyFont="1" applyFill="1" applyBorder="1" applyAlignment="1">
      <alignment vertical="center"/>
    </xf>
    <xf numFmtId="0" fontId="11" fillId="5" borderId="148" xfId="0" applyFont="1" applyFill="1" applyBorder="1" applyAlignment="1">
      <alignment vertical="center"/>
    </xf>
    <xf numFmtId="164" fontId="11" fillId="0" borderId="0" xfId="5" applyFont="1" applyAlignment="1" applyProtection="1">
      <alignment vertical="center" wrapText="1"/>
      <protection locked="0"/>
    </xf>
    <xf numFmtId="164" fontId="10" fillId="0" borderId="49" xfId="5" applyFont="1" applyBorder="1" applyAlignment="1" applyProtection="1">
      <alignment vertical="center"/>
      <protection locked="0"/>
    </xf>
    <xf numFmtId="164" fontId="11" fillId="3" borderId="0" xfId="5" applyFont="1" applyFill="1" applyAlignment="1">
      <alignment vertical="center"/>
    </xf>
    <xf numFmtId="0" fontId="11" fillId="5" borderId="154" xfId="0" applyFont="1" applyFill="1" applyBorder="1" applyAlignment="1">
      <alignment vertical="center"/>
    </xf>
    <xf numFmtId="164" fontId="11" fillId="5" borderId="0" xfId="5" applyFont="1" applyFill="1" applyAlignment="1">
      <alignment vertical="center"/>
    </xf>
    <xf numFmtId="164" fontId="10" fillId="0" borderId="61" xfId="5" applyFont="1" applyBorder="1" applyAlignment="1" applyProtection="1">
      <alignment vertical="center"/>
      <protection locked="0"/>
    </xf>
    <xf numFmtId="164" fontId="11" fillId="3" borderId="0" xfId="5" applyFont="1" applyFill="1" applyAlignment="1" applyProtection="1">
      <alignment vertical="center" wrapText="1"/>
      <protection locked="0"/>
    </xf>
    <xf numFmtId="9" fontId="10" fillId="0" borderId="0" xfId="6" applyFont="1" applyAlignment="1">
      <alignment vertical="center"/>
    </xf>
    <xf numFmtId="9" fontId="10" fillId="0" borderId="140" xfId="6" applyFont="1" applyBorder="1" applyAlignment="1">
      <alignment vertical="center"/>
    </xf>
    <xf numFmtId="0" fontId="11" fillId="0" borderId="139" xfId="0" applyFont="1" applyBorder="1" applyAlignment="1">
      <alignment vertical="center"/>
    </xf>
    <xf numFmtId="164" fontId="11" fillId="0" borderId="0" xfId="5" applyFont="1" applyAlignment="1">
      <alignment horizontal="center" vertical="center"/>
    </xf>
    <xf numFmtId="164" fontId="11" fillId="0" borderId="140" xfId="5" applyFont="1" applyBorder="1" applyAlignment="1">
      <alignment horizontal="center" vertical="center"/>
    </xf>
    <xf numFmtId="0" fontId="10" fillId="5" borderId="139" xfId="0" applyFont="1" applyFill="1" applyBorder="1" applyAlignment="1">
      <alignment vertical="center"/>
    </xf>
    <xf numFmtId="0" fontId="10" fillId="5" borderId="0" xfId="0" applyFont="1" applyFill="1" applyAlignment="1">
      <alignment vertical="center"/>
    </xf>
    <xf numFmtId="0" fontId="11" fillId="5" borderId="0" xfId="0" applyFont="1" applyFill="1" applyAlignment="1">
      <alignment horizontal="left" vertical="center" wrapText="1"/>
    </xf>
    <xf numFmtId="9" fontId="11" fillId="5" borderId="0" xfId="6" applyFont="1" applyFill="1" applyAlignment="1">
      <alignment horizontal="left" vertical="center"/>
    </xf>
    <xf numFmtId="9" fontId="11" fillId="5" borderId="140" xfId="6" applyFont="1" applyFill="1" applyBorder="1" applyAlignment="1">
      <alignment horizontal="left" vertical="center"/>
    </xf>
    <xf numFmtId="0" fontId="11" fillId="0" borderId="140" xfId="0" applyFont="1" applyBorder="1" applyAlignment="1">
      <alignment vertical="center"/>
    </xf>
    <xf numFmtId="0" fontId="23" fillId="3" borderId="139" xfId="0" applyFont="1" applyFill="1" applyBorder="1" applyAlignment="1">
      <alignment vertical="center"/>
    </xf>
    <xf numFmtId="0" fontId="10" fillId="3" borderId="139" xfId="0" applyFont="1" applyFill="1" applyBorder="1" applyAlignment="1" applyProtection="1">
      <alignment vertical="center"/>
      <protection locked="0"/>
    </xf>
    <xf numFmtId="0" fontId="24" fillId="3" borderId="161" xfId="0" applyFont="1" applyFill="1" applyBorder="1" applyAlignment="1">
      <alignment vertical="center"/>
    </xf>
    <xf numFmtId="0" fontId="24" fillId="3" borderId="162" xfId="0" applyFont="1" applyFill="1" applyBorder="1" applyAlignment="1">
      <alignment vertical="center"/>
    </xf>
    <xf numFmtId="0" fontId="24" fillId="3" borderId="163" xfId="0" applyFont="1" applyFill="1" applyBorder="1" applyAlignment="1">
      <alignment vertical="center"/>
    </xf>
    <xf numFmtId="0" fontId="10" fillId="3" borderId="5" xfId="0" applyFont="1" applyFill="1" applyBorder="1" applyAlignment="1" applyProtection="1">
      <alignment horizontal="center" vertical="center"/>
      <protection locked="0"/>
    </xf>
    <xf numFmtId="0" fontId="10" fillId="3" borderId="5" xfId="0" applyFont="1" applyFill="1" applyBorder="1" applyAlignment="1" applyProtection="1">
      <alignment horizontal="left" vertical="center"/>
      <protection locked="0"/>
    </xf>
    <xf numFmtId="0" fontId="13" fillId="2" borderId="101" xfId="0" applyFont="1" applyFill="1" applyBorder="1" applyAlignment="1">
      <alignment horizontal="center" vertical="center"/>
    </xf>
    <xf numFmtId="0" fontId="13" fillId="2" borderId="102" xfId="0" applyFont="1" applyFill="1" applyBorder="1" applyAlignment="1">
      <alignment horizontal="center" vertical="center"/>
    </xf>
    <xf numFmtId="0" fontId="11" fillId="5" borderId="103" xfId="0" applyFont="1" applyFill="1" applyBorder="1" applyAlignment="1">
      <alignment vertical="center"/>
    </xf>
    <xf numFmtId="164" fontId="10" fillId="0" borderId="104" xfId="5" applyFont="1" applyBorder="1" applyAlignment="1" applyProtection="1">
      <alignment vertical="center"/>
      <protection locked="0"/>
    </xf>
    <xf numFmtId="164" fontId="10" fillId="0" borderId="105" xfId="5" applyFont="1" applyBorder="1" applyAlignment="1" applyProtection="1">
      <alignment vertical="center"/>
      <protection locked="0"/>
    </xf>
    <xf numFmtId="164" fontId="10" fillId="0" borderId="106" xfId="5" applyFont="1" applyBorder="1" applyAlignment="1" applyProtection="1">
      <alignment vertical="center"/>
      <protection locked="0"/>
    </xf>
    <xf numFmtId="164" fontId="10" fillId="0" borderId="23" xfId="5" applyFont="1" applyBorder="1" applyAlignment="1" applyProtection="1">
      <alignment vertical="center"/>
      <protection locked="0"/>
    </xf>
    <xf numFmtId="0" fontId="10" fillId="3" borderId="107" xfId="0" applyFont="1" applyFill="1" applyBorder="1" applyAlignment="1">
      <alignment vertical="center"/>
    </xf>
    <xf numFmtId="0" fontId="11" fillId="5" borderId="108" xfId="0" applyFont="1" applyFill="1" applyBorder="1" applyAlignment="1">
      <alignment vertical="center"/>
    </xf>
    <xf numFmtId="164" fontId="10" fillId="0" borderId="107" xfId="5" applyFont="1" applyBorder="1" applyAlignment="1" applyProtection="1">
      <alignment vertical="center"/>
      <protection locked="0"/>
    </xf>
    <xf numFmtId="164" fontId="10" fillId="6" borderId="109" xfId="5" applyFont="1" applyFill="1" applyBorder="1" applyAlignment="1" applyProtection="1">
      <alignment vertical="center"/>
      <protection locked="0"/>
    </xf>
    <xf numFmtId="164" fontId="10" fillId="5" borderId="110" xfId="0" applyNumberFormat="1" applyFont="1" applyFill="1" applyBorder="1" applyAlignment="1">
      <alignment vertical="center"/>
    </xf>
    <xf numFmtId="164" fontId="10" fillId="0" borderId="0" xfId="5" applyFont="1" applyAlignment="1">
      <alignment vertical="center"/>
    </xf>
    <xf numFmtId="0" fontId="17" fillId="3" borderId="0" xfId="0" applyFont="1" applyFill="1" applyAlignment="1">
      <alignment horizontal="left" vertical="center"/>
    </xf>
    <xf numFmtId="0" fontId="10" fillId="3" borderId="139" xfId="0" applyFont="1" applyFill="1" applyBorder="1" applyAlignment="1">
      <alignment horizontal="left" vertical="center"/>
    </xf>
    <xf numFmtId="0" fontId="17" fillId="3" borderId="0" xfId="0" applyFont="1" applyFill="1" applyAlignment="1">
      <alignment vertical="center"/>
    </xf>
    <xf numFmtId="0" fontId="60" fillId="3" borderId="17" xfId="0" applyFont="1" applyFill="1" applyBorder="1" applyAlignment="1">
      <alignment horizontal="left" vertical="center"/>
    </xf>
    <xf numFmtId="0" fontId="60" fillId="3" borderId="0" xfId="0" applyFont="1" applyFill="1" applyAlignment="1">
      <alignment horizontal="left" vertical="center"/>
    </xf>
    <xf numFmtId="16" fontId="0" fillId="0" borderId="0" xfId="0" applyNumberFormat="1" applyAlignment="1">
      <alignment wrapText="1"/>
    </xf>
    <xf numFmtId="3" fontId="0" fillId="0" borderId="0" xfId="0" applyNumberFormat="1" applyAlignment="1">
      <alignment wrapText="1"/>
    </xf>
    <xf numFmtId="39" fontId="33" fillId="0" borderId="0" xfId="0" applyNumberFormat="1" applyFont="1" applyAlignment="1">
      <alignment horizontal="center" vertical="top"/>
    </xf>
    <xf numFmtId="0" fontId="34" fillId="0" borderId="19" xfId="0" applyFont="1" applyBorder="1" applyAlignment="1">
      <alignment horizontal="left" vertical="center" indent="1"/>
    </xf>
    <xf numFmtId="0" fontId="34" fillId="0" borderId="248" xfId="0" applyFont="1" applyBorder="1" applyAlignment="1">
      <alignment horizontal="left" vertical="center" indent="1"/>
    </xf>
    <xf numFmtId="0" fontId="33" fillId="10" borderId="92" xfId="0" applyFont="1" applyFill="1" applyBorder="1" applyAlignment="1">
      <alignment horizontal="center" vertical="center" wrapText="1"/>
    </xf>
    <xf numFmtId="164" fontId="33" fillId="0" borderId="245" xfId="5" applyFont="1" applyBorder="1" applyAlignment="1">
      <alignment vertical="top"/>
    </xf>
    <xf numFmtId="164" fontId="33" fillId="0" borderId="246" xfId="5" applyFont="1" applyBorder="1" applyAlignment="1">
      <alignment vertical="top"/>
    </xf>
    <xf numFmtId="164" fontId="33" fillId="0" borderId="247" xfId="5" applyFont="1" applyBorder="1" applyAlignment="1">
      <alignment vertical="top"/>
    </xf>
    <xf numFmtId="0" fontId="33" fillId="13" borderId="245" xfId="0" applyFont="1" applyFill="1" applyBorder="1" applyAlignment="1">
      <alignment horizontal="center" vertical="top"/>
    </xf>
    <xf numFmtId="0" fontId="33" fillId="13" borderId="246" xfId="0" applyFont="1" applyFill="1" applyBorder="1" applyAlignment="1">
      <alignment horizontal="center" vertical="top"/>
    </xf>
    <xf numFmtId="0" fontId="33" fillId="13" borderId="247" xfId="0" applyFont="1" applyFill="1" applyBorder="1" applyAlignment="1">
      <alignment horizontal="center" vertical="top"/>
    </xf>
    <xf numFmtId="0" fontId="33" fillId="10" borderId="165" xfId="0" applyFont="1" applyFill="1" applyBorder="1" applyAlignment="1">
      <alignment horizontal="center" vertical="center" wrapText="1"/>
    </xf>
    <xf numFmtId="0" fontId="33" fillId="0" borderId="246" xfId="0" applyFont="1" applyBorder="1" applyAlignment="1">
      <alignment horizontal="center" vertical="center"/>
    </xf>
    <xf numFmtId="0" fontId="33" fillId="0" borderId="247" xfId="0" applyFont="1" applyBorder="1" applyAlignment="1">
      <alignment horizontal="center" vertical="center"/>
    </xf>
    <xf numFmtId="0" fontId="33" fillId="10" borderId="244" xfId="0" applyFont="1" applyFill="1" applyBorder="1" applyAlignment="1">
      <alignment horizontal="center" vertical="center" wrapText="1"/>
    </xf>
    <xf numFmtId="39" fontId="33" fillId="0" borderId="252" xfId="0" applyNumberFormat="1" applyFont="1" applyBorder="1" applyAlignment="1">
      <alignment horizontal="center" vertical="top"/>
    </xf>
    <xf numFmtId="39" fontId="33" fillId="0" borderId="226" xfId="0" applyNumberFormat="1" applyFont="1" applyBorder="1" applyAlignment="1">
      <alignment horizontal="center" vertical="top"/>
    </xf>
    <xf numFmtId="0" fontId="32" fillId="2" borderId="253" xfId="0" applyFont="1" applyFill="1" applyBorder="1" applyAlignment="1">
      <alignment horizontal="center" vertical="center"/>
    </xf>
    <xf numFmtId="0" fontId="50" fillId="0" borderId="0" xfId="1" applyFont="1" applyAlignment="1">
      <alignment horizontal="justify" vertical="distributed" wrapText="1"/>
    </xf>
    <xf numFmtId="0" fontId="2" fillId="0" borderId="0" xfId="0" applyFont="1" applyAlignment="1">
      <alignment wrapText="1"/>
    </xf>
    <xf numFmtId="0" fontId="52" fillId="0" borderId="239" xfId="1" applyFont="1" applyBorder="1" applyAlignment="1">
      <alignment horizontal="center" vertical="center" wrapText="1"/>
    </xf>
    <xf numFmtId="0" fontId="52" fillId="0" borderId="127" xfId="1" applyFont="1" applyBorder="1" applyAlignment="1">
      <alignment horizontal="center" vertical="center" wrapText="1"/>
    </xf>
    <xf numFmtId="0" fontId="52" fillId="0" borderId="240" xfId="1" applyFont="1" applyBorder="1" applyAlignment="1">
      <alignment horizontal="center" vertical="center" wrapText="1"/>
    </xf>
    <xf numFmtId="0" fontId="39" fillId="12" borderId="230" xfId="1" applyFont="1" applyFill="1" applyBorder="1" applyAlignment="1">
      <alignment horizontal="center" vertical="center" wrapText="1"/>
    </xf>
    <xf numFmtId="0" fontId="39" fillId="12" borderId="18" xfId="1" applyFont="1" applyFill="1" applyBorder="1" applyAlignment="1">
      <alignment horizontal="center" vertical="center" wrapText="1"/>
    </xf>
    <xf numFmtId="0" fontId="39" fillId="12" borderId="231" xfId="1" applyFont="1" applyFill="1" applyBorder="1" applyAlignment="1">
      <alignment horizontal="center" vertical="center" wrapText="1"/>
    </xf>
    <xf numFmtId="0" fontId="2" fillId="0" borderId="140" xfId="1" applyBorder="1" applyAlignment="1">
      <alignment horizontal="left" vertical="top" wrapText="1"/>
    </xf>
    <xf numFmtId="0" fontId="2" fillId="0" borderId="0" xfId="1" applyAlignment="1">
      <alignment horizontal="left" vertical="top" wrapText="1"/>
    </xf>
    <xf numFmtId="0" fontId="48" fillId="0" borderId="234" xfId="1" applyFont="1" applyBorder="1" applyAlignment="1">
      <alignment horizontal="left" vertical="top" wrapText="1"/>
    </xf>
    <xf numFmtId="0" fontId="22" fillId="0" borderId="120" xfId="1" applyFont="1" applyBorder="1" applyAlignment="1">
      <alignment horizontal="left" vertical="top" wrapText="1"/>
    </xf>
    <xf numFmtId="0" fontId="22" fillId="0" borderId="235" xfId="1" applyFont="1" applyBorder="1" applyAlignment="1">
      <alignment horizontal="left" vertical="top" wrapText="1"/>
    </xf>
    <xf numFmtId="0" fontId="22" fillId="0" borderId="236" xfId="1" applyFont="1" applyBorder="1" applyAlignment="1">
      <alignment horizontal="left" vertical="top" wrapText="1"/>
    </xf>
    <xf numFmtId="0" fontId="22" fillId="0" borderId="123" xfId="1" applyFont="1" applyBorder="1" applyAlignment="1">
      <alignment horizontal="left" vertical="top" wrapText="1"/>
    </xf>
    <xf numFmtId="0" fontId="22" fillId="0" borderId="237" xfId="1" applyFont="1" applyBorder="1" applyAlignment="1">
      <alignment horizontal="left" vertical="top" wrapText="1"/>
    </xf>
    <xf numFmtId="0" fontId="50" fillId="0" borderId="139" xfId="1" applyFont="1" applyBorder="1" applyAlignment="1">
      <alignment horizontal="justify" vertical="distributed" wrapText="1"/>
    </xf>
    <xf numFmtId="0" fontId="50" fillId="0" borderId="140" xfId="1" applyFont="1" applyBorder="1" applyAlignment="1">
      <alignment horizontal="justify" vertical="distributed" wrapText="1"/>
    </xf>
    <xf numFmtId="0" fontId="7" fillId="2" borderId="79" xfId="1" applyFont="1" applyFill="1" applyBorder="1" applyAlignment="1">
      <alignment horizontal="center" vertical="center"/>
    </xf>
    <xf numFmtId="0" fontId="7" fillId="2" borderId="80" xfId="1" applyFont="1" applyFill="1" applyBorder="1" applyAlignment="1">
      <alignment horizontal="center" vertical="center"/>
    </xf>
    <xf numFmtId="0" fontId="54" fillId="0" borderId="0" xfId="1" applyFont="1" applyAlignment="1">
      <alignment horizontal="center"/>
    </xf>
    <xf numFmtId="0" fontId="54" fillId="0" borderId="159" xfId="0" applyFont="1" applyBorder="1" applyAlignment="1">
      <alignment horizontal="left" vertical="center"/>
    </xf>
    <xf numFmtId="0" fontId="78" fillId="0" borderId="74" xfId="0" applyFont="1" applyBorder="1" applyAlignment="1">
      <alignment vertical="center"/>
    </xf>
    <xf numFmtId="0" fontId="54" fillId="13" borderId="74" xfId="5" applyNumberFormat="1" applyFont="1" applyFill="1" applyBorder="1" applyAlignment="1" applyProtection="1">
      <alignment horizontal="left" vertical="center" wrapText="1"/>
      <protection locked="0"/>
    </xf>
    <xf numFmtId="0" fontId="60" fillId="13" borderId="74" xfId="0" applyFont="1" applyFill="1" applyBorder="1" applyAlignment="1">
      <alignment vertical="center" wrapText="1"/>
    </xf>
    <xf numFmtId="0" fontId="60" fillId="13" borderId="160" xfId="0" applyFont="1" applyFill="1" applyBorder="1" applyAlignment="1">
      <alignment vertical="center" wrapText="1"/>
    </xf>
    <xf numFmtId="39" fontId="54" fillId="5" borderId="169" xfId="0" applyNumberFormat="1" applyFont="1" applyFill="1" applyBorder="1" applyAlignment="1">
      <alignment horizontal="right" vertical="center"/>
    </xf>
    <xf numFmtId="39" fontId="54" fillId="5" borderId="170" xfId="0" applyNumberFormat="1" applyFont="1" applyFill="1" applyBorder="1" applyAlignment="1">
      <alignment horizontal="right" vertical="center"/>
    </xf>
    <xf numFmtId="0" fontId="60" fillId="5" borderId="169" xfId="0" applyFont="1" applyFill="1" applyBorder="1" applyAlignment="1">
      <alignment horizontal="center" vertical="center"/>
    </xf>
    <xf numFmtId="0" fontId="60" fillId="5" borderId="170" xfId="0" applyFont="1" applyFill="1" applyBorder="1" applyAlignment="1">
      <alignment horizontal="center" vertical="center"/>
    </xf>
    <xf numFmtId="0" fontId="60" fillId="5" borderId="171" xfId="0" applyFont="1" applyFill="1" applyBorder="1" applyAlignment="1">
      <alignment horizontal="center" vertical="center"/>
    </xf>
    <xf numFmtId="164" fontId="54" fillId="5" borderId="169" xfId="0" applyNumberFormat="1" applyFont="1" applyFill="1" applyBorder="1" applyAlignment="1">
      <alignment horizontal="center" vertical="center"/>
    </xf>
    <xf numFmtId="0" fontId="54" fillId="5" borderId="170" xfId="0" applyFont="1" applyFill="1" applyBorder="1" applyAlignment="1">
      <alignment horizontal="center" vertical="center"/>
    </xf>
    <xf numFmtId="0" fontId="60" fillId="5" borderId="191" xfId="0" applyFont="1" applyFill="1" applyBorder="1" applyAlignment="1">
      <alignment horizontal="center" vertical="center"/>
    </xf>
    <xf numFmtId="9" fontId="54" fillId="7" borderId="71" xfId="0" applyNumberFormat="1" applyFont="1" applyFill="1" applyBorder="1" applyAlignment="1">
      <alignment horizontal="center" vertical="center"/>
    </xf>
    <xf numFmtId="9" fontId="54" fillId="7" borderId="168" xfId="0" applyNumberFormat="1" applyFont="1" applyFill="1" applyBorder="1" applyAlignment="1">
      <alignment horizontal="center" vertical="center"/>
    </xf>
    <xf numFmtId="9" fontId="54" fillId="7" borderId="129" xfId="0" applyNumberFormat="1" applyFont="1" applyFill="1" applyBorder="1" applyAlignment="1">
      <alignment horizontal="center" vertical="center"/>
    </xf>
    <xf numFmtId="9" fontId="54" fillId="7" borderId="71" xfId="6" applyFont="1" applyFill="1" applyBorder="1" applyAlignment="1">
      <alignment horizontal="center" vertical="center"/>
    </xf>
    <xf numFmtId="9" fontId="54" fillId="7" borderId="168" xfId="6" applyFont="1" applyFill="1" applyBorder="1" applyAlignment="1">
      <alignment horizontal="center" vertical="center"/>
    </xf>
    <xf numFmtId="9" fontId="54" fillId="7" borderId="129" xfId="6" applyFont="1" applyFill="1" applyBorder="1" applyAlignment="1">
      <alignment horizontal="center" vertical="center"/>
    </xf>
    <xf numFmtId="0" fontId="60" fillId="0" borderId="197" xfId="1" applyFont="1" applyBorder="1" applyAlignment="1">
      <alignment horizontal="left" vertical="center" indent="1"/>
    </xf>
    <xf numFmtId="0" fontId="60" fillId="0" borderId="184" xfId="1" applyFont="1" applyBorder="1" applyAlignment="1">
      <alignment horizontal="left" vertical="center" indent="1"/>
    </xf>
    <xf numFmtId="164" fontId="54" fillId="3" borderId="184" xfId="2" applyFont="1" applyFill="1" applyBorder="1" applyAlignment="1" applyProtection="1">
      <alignment vertical="center"/>
      <protection locked="0"/>
    </xf>
    <xf numFmtId="0" fontId="76" fillId="3" borderId="184" xfId="0" applyFont="1" applyFill="1" applyBorder="1" applyAlignment="1" applyProtection="1">
      <alignment vertical="center" wrapText="1"/>
      <protection locked="0"/>
    </xf>
    <xf numFmtId="0" fontId="76" fillId="3" borderId="185" xfId="0" applyFont="1" applyFill="1" applyBorder="1" applyAlignment="1" applyProtection="1">
      <alignment vertical="center" wrapText="1"/>
      <protection locked="0"/>
    </xf>
    <xf numFmtId="164" fontId="54" fillId="3" borderId="184" xfId="5" applyFont="1" applyFill="1" applyBorder="1" applyAlignment="1" applyProtection="1">
      <alignment vertical="center"/>
      <protection locked="0"/>
    </xf>
    <xf numFmtId="0" fontId="76" fillId="3" borderId="198" xfId="0" applyFont="1" applyFill="1" applyBorder="1" applyAlignment="1" applyProtection="1">
      <alignment vertical="center" wrapText="1"/>
      <protection locked="0"/>
    </xf>
    <xf numFmtId="0" fontId="60" fillId="0" borderId="181" xfId="1" applyFont="1" applyBorder="1" applyAlignment="1">
      <alignment horizontal="left" vertical="center" indent="1"/>
    </xf>
    <xf numFmtId="0" fontId="60" fillId="0" borderId="173" xfId="1" applyFont="1" applyBorder="1" applyAlignment="1">
      <alignment horizontal="left" vertical="center" indent="1"/>
    </xf>
    <xf numFmtId="164" fontId="54" fillId="0" borderId="173" xfId="2" applyFont="1" applyFill="1" applyBorder="1" applyAlignment="1" applyProtection="1">
      <alignment vertical="center"/>
      <protection locked="0"/>
    </xf>
    <xf numFmtId="0" fontId="76" fillId="0" borderId="173" xfId="0" applyFont="1" applyBorder="1" applyAlignment="1" applyProtection="1">
      <alignment vertical="center" wrapText="1"/>
      <protection locked="0"/>
    </xf>
    <xf numFmtId="0" fontId="76" fillId="0" borderId="177" xfId="0" applyFont="1" applyBorder="1" applyAlignment="1" applyProtection="1">
      <alignment vertical="center" wrapText="1"/>
      <protection locked="0"/>
    </xf>
    <xf numFmtId="164" fontId="54" fillId="0" borderId="173" xfId="5" applyFont="1" applyFill="1" applyBorder="1" applyAlignment="1" applyProtection="1">
      <alignment vertical="center"/>
      <protection locked="0"/>
    </xf>
    <xf numFmtId="0" fontId="76" fillId="0" borderId="182" xfId="0" applyFont="1" applyBorder="1" applyAlignment="1" applyProtection="1">
      <alignment vertical="center" wrapText="1"/>
      <protection locked="0"/>
    </xf>
    <xf numFmtId="0" fontId="60" fillId="0" borderId="192" xfId="1" applyFont="1" applyBorder="1" applyAlignment="1">
      <alignment horizontal="left" vertical="center" indent="1"/>
    </xf>
    <xf numFmtId="0" fontId="60" fillId="0" borderId="172" xfId="1" applyFont="1" applyBorder="1" applyAlignment="1">
      <alignment horizontal="left" vertical="center" indent="1"/>
    </xf>
    <xf numFmtId="164" fontId="54" fillId="0" borderId="172" xfId="2" applyFont="1" applyFill="1" applyBorder="1" applyAlignment="1" applyProtection="1">
      <alignment vertical="center"/>
      <protection locked="0"/>
    </xf>
    <xf numFmtId="0" fontId="76" fillId="0" borderId="172" xfId="0" applyFont="1" applyBorder="1" applyAlignment="1" applyProtection="1">
      <alignment vertical="center" wrapText="1"/>
      <protection locked="0"/>
    </xf>
    <xf numFmtId="0" fontId="76" fillId="0" borderId="175" xfId="0" applyFont="1" applyBorder="1" applyAlignment="1" applyProtection="1">
      <alignment vertical="center" wrapText="1"/>
      <protection locked="0"/>
    </xf>
    <xf numFmtId="0" fontId="60" fillId="0" borderId="194" xfId="1" applyFont="1" applyBorder="1" applyAlignment="1">
      <alignment horizontal="left" vertical="center" wrapText="1" indent="1"/>
    </xf>
    <xf numFmtId="0" fontId="60" fillId="0" borderId="179" xfId="1" applyFont="1" applyBorder="1" applyAlignment="1">
      <alignment horizontal="left" vertical="center" indent="1"/>
    </xf>
    <xf numFmtId="164" fontId="54" fillId="0" borderId="179" xfId="2" applyFont="1" applyFill="1" applyBorder="1" applyAlignment="1" applyProtection="1">
      <alignment vertical="center"/>
      <protection locked="0"/>
    </xf>
    <xf numFmtId="0" fontId="76" fillId="3" borderId="179" xfId="0" applyFont="1" applyFill="1" applyBorder="1" applyAlignment="1" applyProtection="1">
      <alignment vertical="center" wrapText="1"/>
      <protection locked="0"/>
    </xf>
    <xf numFmtId="0" fontId="76" fillId="3" borderId="180" xfId="0" applyFont="1" applyFill="1" applyBorder="1" applyAlignment="1" applyProtection="1">
      <alignment vertical="center" wrapText="1"/>
      <protection locked="0"/>
    </xf>
    <xf numFmtId="4" fontId="54" fillId="0" borderId="179" xfId="0" applyNumberFormat="1" applyFont="1" applyBorder="1" applyAlignment="1">
      <alignment horizontal="right" vertical="center" wrapText="1"/>
    </xf>
    <xf numFmtId="0" fontId="54" fillId="0" borderId="179" xfId="0" applyFont="1" applyBorder="1" applyAlignment="1">
      <alignment horizontal="right" vertical="center"/>
    </xf>
    <xf numFmtId="0" fontId="77" fillId="0" borderId="179" xfId="0" applyFont="1" applyBorder="1" applyAlignment="1" applyProtection="1">
      <alignment vertical="center" wrapText="1"/>
      <protection locked="0"/>
    </xf>
    <xf numFmtId="0" fontId="76" fillId="0" borderId="179" xfId="0" applyFont="1" applyBorder="1" applyAlignment="1" applyProtection="1">
      <alignment vertical="center" wrapText="1"/>
      <protection locked="0"/>
    </xf>
    <xf numFmtId="0" fontId="76" fillId="0" borderId="195" xfId="0" applyFont="1" applyBorder="1" applyAlignment="1" applyProtection="1">
      <alignment vertical="center" wrapText="1"/>
      <protection locked="0"/>
    </xf>
    <xf numFmtId="0" fontId="76" fillId="3" borderId="173" xfId="0" applyFont="1" applyFill="1" applyBorder="1" applyAlignment="1" applyProtection="1">
      <alignment vertical="center" wrapText="1"/>
      <protection locked="0"/>
    </xf>
    <xf numFmtId="0" fontId="76" fillId="3" borderId="177" xfId="0" applyFont="1" applyFill="1" applyBorder="1" applyAlignment="1" applyProtection="1">
      <alignment vertical="center" wrapText="1"/>
      <protection locked="0"/>
    </xf>
    <xf numFmtId="164" fontId="54" fillId="0" borderId="173" xfId="5" applyFont="1" applyFill="1" applyBorder="1" applyAlignment="1" applyProtection="1">
      <alignment horizontal="right" vertical="center"/>
      <protection locked="0"/>
    </xf>
    <xf numFmtId="9" fontId="84" fillId="4" borderId="17" xfId="6" applyFont="1" applyFill="1" applyBorder="1" applyAlignment="1">
      <alignment horizontal="center" vertical="center" wrapText="1"/>
    </xf>
    <xf numFmtId="9" fontId="84" fillId="4" borderId="18" xfId="6" applyFont="1" applyFill="1" applyBorder="1" applyAlignment="1">
      <alignment horizontal="center" vertical="center" wrapText="1"/>
    </xf>
    <xf numFmtId="9" fontId="84" fillId="4" borderId="19" xfId="6" applyFont="1" applyFill="1" applyBorder="1" applyAlignment="1">
      <alignment horizontal="center" vertical="center" wrapText="1"/>
    </xf>
    <xf numFmtId="0" fontId="32" fillId="2" borderId="143" xfId="0" applyFont="1" applyFill="1" applyBorder="1" applyAlignment="1">
      <alignment horizontal="center" vertical="center"/>
    </xf>
    <xf numFmtId="0" fontId="32" fillId="2" borderId="28" xfId="0" applyFont="1" applyFill="1" applyBorder="1" applyAlignment="1">
      <alignment horizontal="center" vertical="center"/>
    </xf>
    <xf numFmtId="0" fontId="32" fillId="2" borderId="145" xfId="0" applyFont="1" applyFill="1" applyBorder="1" applyAlignment="1">
      <alignment horizontal="center" vertical="center"/>
    </xf>
    <xf numFmtId="0" fontId="32" fillId="2" borderId="31" xfId="0" applyFont="1" applyFill="1" applyBorder="1" applyAlignment="1">
      <alignment horizontal="center" vertical="center"/>
    </xf>
    <xf numFmtId="0" fontId="75" fillId="2" borderId="28" xfId="0" applyFont="1" applyFill="1" applyBorder="1" applyAlignment="1">
      <alignment horizontal="center" vertical="center"/>
    </xf>
    <xf numFmtId="0" fontId="75" fillId="2" borderId="29" xfId="0" applyFont="1" applyFill="1" applyBorder="1" applyAlignment="1">
      <alignment horizontal="center" vertical="center"/>
    </xf>
    <xf numFmtId="0" fontId="75" fillId="2" borderId="27" xfId="0" applyFont="1" applyFill="1" applyBorder="1" applyAlignment="1">
      <alignment horizontal="center" vertical="center"/>
    </xf>
    <xf numFmtId="0" fontId="75" fillId="2" borderId="144" xfId="0" applyFont="1" applyFill="1" applyBorder="1" applyAlignment="1">
      <alignment horizontal="center" vertical="center"/>
    </xf>
    <xf numFmtId="0" fontId="65" fillId="2" borderId="31" xfId="0" applyFont="1" applyFill="1" applyBorder="1" applyAlignment="1">
      <alignment horizontal="center" vertical="center"/>
    </xf>
    <xf numFmtId="0" fontId="65" fillId="2" borderId="32" xfId="0" applyFont="1" applyFill="1" applyBorder="1" applyAlignment="1">
      <alignment horizontal="center" vertical="center"/>
    </xf>
    <xf numFmtId="49" fontId="54" fillId="13" borderId="13" xfId="0" applyNumberFormat="1" applyFont="1" applyFill="1" applyBorder="1" applyAlignment="1" applyProtection="1">
      <alignment horizontal="left" vertical="center" indent="1"/>
      <protection locked="0"/>
    </xf>
    <xf numFmtId="0" fontId="54" fillId="13" borderId="14" xfId="0" applyFont="1" applyFill="1" applyBorder="1" applyAlignment="1" applyProtection="1">
      <alignment horizontal="left" vertical="center" indent="1"/>
      <protection locked="0"/>
    </xf>
    <xf numFmtId="0" fontId="54" fillId="13" borderId="15" xfId="0" applyFont="1" applyFill="1" applyBorder="1" applyAlignment="1" applyProtection="1">
      <alignment horizontal="left" vertical="center" indent="1"/>
      <protection locked="0"/>
    </xf>
    <xf numFmtId="0" fontId="54" fillId="13" borderId="13" xfId="0" applyFont="1" applyFill="1" applyBorder="1" applyAlignment="1" applyProtection="1">
      <alignment horizontal="center" vertical="center"/>
      <protection locked="0"/>
    </xf>
    <xf numFmtId="0" fontId="54" fillId="13" borderId="14" xfId="0" applyFont="1" applyFill="1" applyBorder="1" applyAlignment="1" applyProtection="1">
      <alignment horizontal="center" vertical="center"/>
      <protection locked="0"/>
    </xf>
    <xf numFmtId="0" fontId="54" fillId="13" borderId="15" xfId="0" applyFont="1" applyFill="1" applyBorder="1" applyAlignment="1" applyProtection="1">
      <alignment horizontal="center" vertical="center"/>
      <protection locked="0"/>
    </xf>
    <xf numFmtId="0" fontId="73" fillId="4" borderId="16" xfId="0" applyFont="1" applyFill="1" applyBorder="1" applyAlignment="1">
      <alignment horizontal="center" vertical="center" wrapText="1"/>
    </xf>
    <xf numFmtId="0" fontId="73" fillId="13" borderId="17" xfId="0" applyFont="1" applyFill="1" applyBorder="1" applyAlignment="1">
      <alignment horizontal="center" vertical="center"/>
    </xf>
    <xf numFmtId="0" fontId="73" fillId="13" borderId="18" xfId="0" applyFont="1" applyFill="1" applyBorder="1" applyAlignment="1">
      <alignment horizontal="center" vertical="center"/>
    </xf>
    <xf numFmtId="0" fontId="73" fillId="13" borderId="19" xfId="0" applyFont="1" applyFill="1" applyBorder="1" applyAlignment="1">
      <alignment horizontal="center" vertical="center"/>
    </xf>
    <xf numFmtId="0" fontId="84" fillId="4" borderId="17" xfId="0" applyFont="1" applyFill="1" applyBorder="1" applyAlignment="1">
      <alignment horizontal="center" vertical="center" wrapText="1"/>
    </xf>
    <xf numFmtId="0" fontId="84" fillId="4" borderId="18" xfId="0" applyFont="1" applyFill="1" applyBorder="1" applyAlignment="1">
      <alignment horizontal="center" vertical="center" wrapText="1"/>
    </xf>
    <xf numFmtId="0" fontId="84" fillId="4" borderId="19" xfId="0" applyFont="1" applyFill="1" applyBorder="1" applyAlignment="1">
      <alignment horizontal="center" vertical="center" wrapText="1"/>
    </xf>
    <xf numFmtId="14" fontId="54" fillId="13" borderId="17" xfId="0" applyNumberFormat="1" applyFont="1" applyFill="1" applyBorder="1" applyAlignment="1" applyProtection="1">
      <alignment horizontal="center" vertical="center"/>
      <protection locked="0"/>
    </xf>
    <xf numFmtId="14" fontId="54" fillId="13" borderId="18" xfId="0" applyNumberFormat="1" applyFont="1" applyFill="1" applyBorder="1" applyAlignment="1" applyProtection="1">
      <alignment horizontal="center" vertical="center"/>
      <protection locked="0"/>
    </xf>
    <xf numFmtId="14" fontId="54" fillId="13" borderId="19" xfId="0" applyNumberFormat="1" applyFont="1" applyFill="1" applyBorder="1" applyAlignment="1" applyProtection="1">
      <alignment horizontal="center" vertical="center"/>
      <protection locked="0"/>
    </xf>
    <xf numFmtId="0" fontId="62" fillId="2" borderId="134" xfId="0" applyFont="1" applyFill="1" applyBorder="1" applyAlignment="1">
      <alignment horizontal="center" vertical="center"/>
    </xf>
    <xf numFmtId="0" fontId="62" fillId="2" borderId="135" xfId="0" applyFont="1" applyFill="1" applyBorder="1" applyAlignment="1">
      <alignment horizontal="center" vertical="center"/>
    </xf>
    <xf numFmtId="0" fontId="62" fillId="2" borderId="136" xfId="0" applyFont="1" applyFill="1" applyBorder="1" applyAlignment="1">
      <alignment horizontal="center" vertical="center"/>
    </xf>
    <xf numFmtId="2" fontId="62" fillId="2" borderId="137" xfId="0" applyNumberFormat="1" applyFont="1" applyFill="1" applyBorder="1" applyAlignment="1">
      <alignment horizontal="center" vertical="center"/>
    </xf>
    <xf numFmtId="2" fontId="62" fillId="2" borderId="5" xfId="0" applyNumberFormat="1" applyFont="1" applyFill="1" applyBorder="1" applyAlignment="1">
      <alignment horizontal="center" vertical="center"/>
    </xf>
    <xf numFmtId="2" fontId="62" fillId="2" borderId="138" xfId="0" applyNumberFormat="1" applyFont="1" applyFill="1" applyBorder="1" applyAlignment="1">
      <alignment horizontal="center" vertical="center"/>
    </xf>
    <xf numFmtId="0" fontId="54" fillId="3" borderId="13" xfId="0" applyFont="1" applyFill="1" applyBorder="1" applyAlignment="1" applyProtection="1">
      <alignment horizontal="left" vertical="center" indent="1"/>
      <protection locked="0"/>
    </xf>
    <xf numFmtId="0" fontId="54" fillId="3" borderId="14" xfId="0" applyFont="1" applyFill="1" applyBorder="1" applyAlignment="1" applyProtection="1">
      <alignment horizontal="left" vertical="center" indent="1"/>
      <protection locked="0"/>
    </xf>
    <xf numFmtId="0" fontId="54" fillId="3" borderId="15" xfId="0" applyFont="1" applyFill="1" applyBorder="1" applyAlignment="1" applyProtection="1">
      <alignment horizontal="left" vertical="center" indent="1"/>
      <protection locked="0"/>
    </xf>
    <xf numFmtId="0" fontId="54" fillId="13" borderId="223" xfId="0" applyFont="1" applyFill="1" applyBorder="1" applyAlignment="1" applyProtection="1">
      <alignment horizontal="center" vertical="center" wrapText="1" indent="1"/>
      <protection locked="0"/>
    </xf>
    <xf numFmtId="0" fontId="54" fillId="13" borderId="224" xfId="0" applyFont="1" applyFill="1" applyBorder="1" applyAlignment="1" applyProtection="1">
      <alignment horizontal="center" vertical="center" wrapText="1" indent="1"/>
      <protection locked="0"/>
    </xf>
    <xf numFmtId="0" fontId="54" fillId="13" borderId="225" xfId="0" applyFont="1" applyFill="1" applyBorder="1" applyAlignment="1" applyProtection="1">
      <alignment horizontal="center" vertical="center" wrapText="1" indent="1"/>
      <protection locked="0"/>
    </xf>
    <xf numFmtId="14" fontId="60" fillId="13" borderId="223" xfId="0" applyNumberFormat="1" applyFont="1" applyFill="1" applyBorder="1" applyAlignment="1" applyProtection="1">
      <alignment horizontal="center" vertical="center"/>
      <protection locked="0"/>
    </xf>
    <xf numFmtId="14" fontId="60" fillId="13" borderId="224" xfId="0" applyNumberFormat="1" applyFont="1" applyFill="1" applyBorder="1" applyAlignment="1" applyProtection="1">
      <alignment horizontal="center" vertical="center"/>
      <protection locked="0"/>
    </xf>
    <xf numFmtId="14" fontId="60" fillId="13" borderId="225" xfId="0" applyNumberFormat="1" applyFont="1" applyFill="1" applyBorder="1" applyAlignment="1" applyProtection="1">
      <alignment horizontal="center" vertical="center"/>
      <protection locked="0"/>
    </xf>
    <xf numFmtId="0" fontId="60" fillId="5" borderId="187" xfId="0" applyFont="1" applyFill="1" applyBorder="1" applyAlignment="1">
      <alignment horizontal="center" vertical="center"/>
    </xf>
    <xf numFmtId="0" fontId="60" fillId="5" borderId="188" xfId="0" applyFont="1" applyFill="1" applyBorder="1" applyAlignment="1">
      <alignment horizontal="center" vertical="center"/>
    </xf>
    <xf numFmtId="0" fontId="60" fillId="5" borderId="196" xfId="0" applyFont="1" applyFill="1" applyBorder="1" applyAlignment="1">
      <alignment horizontal="center" vertical="center"/>
    </xf>
    <xf numFmtId="0" fontId="54" fillId="3" borderId="139" xfId="0" applyFont="1" applyFill="1" applyBorder="1" applyAlignment="1">
      <alignment horizontal="left" vertical="center" wrapText="1"/>
    </xf>
    <xf numFmtId="0" fontId="54" fillId="3" borderId="0" xfId="0" applyFont="1" applyFill="1" applyAlignment="1">
      <alignment horizontal="left" vertical="center" wrapText="1"/>
    </xf>
    <xf numFmtId="0" fontId="54" fillId="13" borderId="13" xfId="0" applyFont="1" applyFill="1" applyBorder="1" applyAlignment="1" applyProtection="1">
      <alignment horizontal="left" vertical="center" wrapText="1" indent="1"/>
      <protection locked="0"/>
    </xf>
    <xf numFmtId="0" fontId="54" fillId="13" borderId="14" xfId="0" applyFont="1" applyFill="1" applyBorder="1" applyAlignment="1" applyProtection="1">
      <alignment horizontal="left" vertical="center" wrapText="1" indent="1"/>
      <protection locked="0"/>
    </xf>
    <xf numFmtId="0" fontId="54" fillId="13" borderId="15" xfId="0" applyFont="1" applyFill="1" applyBorder="1" applyAlignment="1" applyProtection="1">
      <alignment horizontal="left" vertical="center" wrapText="1" indent="1"/>
      <protection locked="0"/>
    </xf>
    <xf numFmtId="0" fontId="65" fillId="2" borderId="146" xfId="0" applyFont="1" applyFill="1" applyBorder="1" applyAlignment="1">
      <alignment horizontal="center" vertical="center"/>
    </xf>
    <xf numFmtId="0" fontId="76" fillId="3" borderId="172" xfId="0" applyFont="1" applyFill="1" applyBorder="1" applyAlignment="1" applyProtection="1">
      <alignment vertical="center" wrapText="1"/>
      <protection locked="0"/>
    </xf>
    <xf numFmtId="0" fontId="76" fillId="3" borderId="175" xfId="0" applyFont="1" applyFill="1" applyBorder="1" applyAlignment="1" applyProtection="1">
      <alignment vertical="center" wrapText="1"/>
      <protection locked="0"/>
    </xf>
    <xf numFmtId="164" fontId="54" fillId="0" borderId="172" xfId="5" applyFont="1" applyFill="1" applyBorder="1" applyAlignment="1" applyProtection="1">
      <alignment horizontal="right" vertical="center"/>
      <protection locked="0"/>
    </xf>
    <xf numFmtId="0" fontId="76" fillId="0" borderId="193" xfId="0" applyFont="1" applyBorder="1" applyAlignment="1" applyProtection="1">
      <alignment vertical="center" wrapText="1"/>
      <protection locked="0"/>
    </xf>
    <xf numFmtId="0" fontId="73" fillId="4" borderId="17" xfId="0" applyFont="1" applyFill="1" applyBorder="1" applyAlignment="1">
      <alignment horizontal="center" vertical="center" wrapText="1"/>
    </xf>
    <xf numFmtId="0" fontId="73" fillId="4" borderId="18" xfId="0" applyFont="1" applyFill="1" applyBorder="1" applyAlignment="1">
      <alignment horizontal="center" vertical="center" wrapText="1"/>
    </xf>
    <xf numFmtId="0" fontId="73" fillId="4" borderId="19" xfId="0" applyFont="1" applyFill="1" applyBorder="1" applyAlignment="1">
      <alignment horizontal="center" vertical="center" wrapText="1"/>
    </xf>
    <xf numFmtId="0" fontId="18" fillId="2" borderId="206" xfId="0" applyFont="1" applyFill="1" applyBorder="1" applyAlignment="1">
      <alignment horizontal="center" vertical="center"/>
    </xf>
    <xf numFmtId="0" fontId="18" fillId="2" borderId="209" xfId="0" applyFont="1" applyFill="1" applyBorder="1" applyAlignment="1">
      <alignment horizontal="center" vertical="center"/>
    </xf>
    <xf numFmtId="0" fontId="19" fillId="2" borderId="207" xfId="0" applyFont="1" applyFill="1" applyBorder="1" applyAlignment="1">
      <alignment horizontal="center" vertical="center"/>
    </xf>
    <xf numFmtId="0" fontId="19" fillId="2" borderId="208" xfId="0" applyFont="1" applyFill="1" applyBorder="1" applyAlignment="1">
      <alignment horizontal="center" vertical="center"/>
    </xf>
    <xf numFmtId="0" fontId="32" fillId="9" borderId="86" xfId="0" applyFont="1" applyFill="1" applyBorder="1" applyAlignment="1">
      <alignment horizontal="center" vertical="center" wrapText="1"/>
    </xf>
    <xf numFmtId="0" fontId="32" fillId="9" borderId="88" xfId="0" applyFont="1" applyFill="1" applyBorder="1" applyAlignment="1">
      <alignment horizontal="center" vertical="center" wrapText="1"/>
    </xf>
    <xf numFmtId="0" fontId="32" fillId="9" borderId="16" xfId="0" applyFont="1" applyFill="1" applyBorder="1" applyAlignment="1">
      <alignment horizontal="center" vertical="center" wrapText="1"/>
    </xf>
    <xf numFmtId="0" fontId="32" fillId="9" borderId="90" xfId="0" applyFont="1" applyFill="1" applyBorder="1" applyAlignment="1">
      <alignment horizontal="center" vertical="center" wrapText="1"/>
    </xf>
    <xf numFmtId="0" fontId="33" fillId="0" borderId="245" xfId="0" applyFont="1" applyBorder="1" applyAlignment="1">
      <alignment horizontal="center" vertical="center"/>
    </xf>
    <xf numFmtId="0" fontId="33" fillId="0" borderId="246" xfId="0" applyFont="1" applyBorder="1" applyAlignment="1">
      <alignment horizontal="center" vertical="center"/>
    </xf>
    <xf numFmtId="0" fontId="33" fillId="13" borderId="16" xfId="0" applyFont="1" applyFill="1" applyBorder="1" applyAlignment="1">
      <alignment horizontal="left" vertical="center" wrapText="1"/>
    </xf>
    <xf numFmtId="0" fontId="33" fillId="13" borderId="16" xfId="0" applyFont="1" applyFill="1" applyBorder="1" applyAlignment="1">
      <alignment horizontal="left" vertical="center"/>
    </xf>
    <xf numFmtId="0" fontId="33" fillId="13" borderId="90" xfId="0" applyFont="1" applyFill="1" applyBorder="1" applyAlignment="1">
      <alignment horizontal="left" vertical="center"/>
    </xf>
    <xf numFmtId="0" fontId="32" fillId="2" borderId="85" xfId="0" applyFont="1" applyFill="1" applyBorder="1" applyAlignment="1">
      <alignment horizontal="center" vertical="center"/>
    </xf>
    <xf numFmtId="0" fontId="32" fillId="2" borderId="164" xfId="0" applyFont="1" applyFill="1" applyBorder="1" applyAlignment="1">
      <alignment horizontal="center" vertical="center"/>
    </xf>
    <xf numFmtId="0" fontId="32" fillId="2" borderId="84" xfId="0" applyFont="1" applyFill="1" applyBorder="1" applyAlignment="1">
      <alignment horizontal="center" vertical="center"/>
    </xf>
    <xf numFmtId="0" fontId="32" fillId="2" borderId="86" xfId="0" applyFont="1" applyFill="1" applyBorder="1" applyAlignment="1">
      <alignment horizontal="center" vertical="center"/>
    </xf>
    <xf numFmtId="0" fontId="32" fillId="9" borderId="86" xfId="0" applyFont="1" applyFill="1" applyBorder="1" applyAlignment="1">
      <alignment horizontal="center" vertical="center"/>
    </xf>
    <xf numFmtId="0" fontId="32" fillId="9" borderId="16" xfId="0" applyFont="1" applyFill="1" applyBorder="1" applyAlignment="1">
      <alignment horizontal="center" vertical="center"/>
    </xf>
    <xf numFmtId="0" fontId="32" fillId="9" borderId="85" xfId="0" applyFont="1" applyFill="1" applyBorder="1" applyAlignment="1">
      <alignment horizontal="center" vertical="center"/>
    </xf>
    <xf numFmtId="0" fontId="32" fillId="9" borderId="87" xfId="0" applyFont="1" applyFill="1" applyBorder="1" applyAlignment="1">
      <alignment horizontal="center" vertical="center"/>
    </xf>
    <xf numFmtId="0" fontId="33" fillId="13" borderId="96" xfId="0" applyFont="1" applyFill="1" applyBorder="1" applyAlignment="1">
      <alignment horizontal="left" vertical="center"/>
    </xf>
    <xf numFmtId="0" fontId="33" fillId="13" borderId="97" xfId="0" applyFont="1" applyFill="1" applyBorder="1" applyAlignment="1">
      <alignment horizontal="left" vertical="center"/>
    </xf>
    <xf numFmtId="0" fontId="33" fillId="0" borderId="249" xfId="0" applyFont="1" applyBorder="1" applyAlignment="1">
      <alignment horizontal="center" vertical="top"/>
    </xf>
    <xf numFmtId="0" fontId="33" fillId="0" borderId="250" xfId="0" applyFont="1" applyBorder="1" applyAlignment="1">
      <alignment horizontal="center" vertical="top"/>
    </xf>
    <xf numFmtId="0" fontId="33" fillId="0" borderId="251" xfId="0" applyFont="1" applyBorder="1" applyAlignment="1">
      <alignment horizontal="center" vertical="top"/>
    </xf>
    <xf numFmtId="0" fontId="15" fillId="4" borderId="16" xfId="0" applyFont="1" applyFill="1" applyBorder="1" applyAlignment="1">
      <alignment horizontal="center" vertical="center" wrapText="1"/>
    </xf>
    <xf numFmtId="0" fontId="15" fillId="13" borderId="17" xfId="0" applyFont="1" applyFill="1" applyBorder="1" applyAlignment="1">
      <alignment horizontal="center" vertical="center"/>
    </xf>
    <xf numFmtId="0" fontId="15" fillId="13" borderId="18" xfId="0" applyFont="1" applyFill="1" applyBorder="1" applyAlignment="1">
      <alignment horizontal="center" vertical="center"/>
    </xf>
    <xf numFmtId="0" fontId="15" fillId="13" borderId="19" xfId="0" applyFont="1" applyFill="1" applyBorder="1" applyAlignment="1">
      <alignment horizontal="center" vertical="center"/>
    </xf>
    <xf numFmtId="9" fontId="15" fillId="4" borderId="17" xfId="6" applyFont="1" applyFill="1" applyBorder="1" applyAlignment="1">
      <alignment horizontal="center" vertical="center" wrapText="1"/>
    </xf>
    <xf numFmtId="9" fontId="15" fillId="4" borderId="18" xfId="6" applyFont="1" applyFill="1" applyBorder="1" applyAlignment="1">
      <alignment horizontal="center" vertical="center" wrapText="1"/>
    </xf>
    <xf numFmtId="9" fontId="15" fillId="4" borderId="19" xfId="6" applyFont="1" applyFill="1" applyBorder="1" applyAlignment="1">
      <alignment horizontal="center" vertical="center" wrapText="1"/>
    </xf>
    <xf numFmtId="0" fontId="10" fillId="3" borderId="13" xfId="0" applyFont="1" applyFill="1" applyBorder="1" applyAlignment="1" applyProtection="1">
      <alignment horizontal="left" vertical="center" indent="1"/>
      <protection locked="0"/>
    </xf>
    <xf numFmtId="0" fontId="10" fillId="3" borderId="14" xfId="0" applyFont="1" applyFill="1" applyBorder="1" applyAlignment="1" applyProtection="1">
      <alignment horizontal="left" vertical="center" indent="1"/>
      <protection locked="0"/>
    </xf>
    <xf numFmtId="0" fontId="10" fillId="3" borderId="15" xfId="0" applyFont="1" applyFill="1" applyBorder="1" applyAlignment="1" applyProtection="1">
      <alignment horizontal="left" vertical="center" indent="1"/>
      <protection locked="0"/>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4" borderId="17" xfId="0" applyFont="1" applyFill="1" applyBorder="1" applyAlignment="1">
      <alignment horizontal="center" vertical="center" wrapText="1"/>
    </xf>
    <xf numFmtId="0" fontId="15" fillId="4" borderId="18" xfId="0" applyFont="1" applyFill="1" applyBorder="1" applyAlignment="1">
      <alignment horizontal="center" vertical="center" wrapText="1"/>
    </xf>
    <xf numFmtId="0" fontId="15" fillId="4" borderId="19" xfId="0" applyFont="1" applyFill="1" applyBorder="1" applyAlignment="1">
      <alignment horizontal="center" vertical="center" wrapText="1"/>
    </xf>
    <xf numFmtId="0" fontId="6" fillId="2" borderId="134" xfId="0" applyFont="1" applyFill="1" applyBorder="1" applyAlignment="1">
      <alignment horizontal="center" vertical="center"/>
    </xf>
    <xf numFmtId="0" fontId="6" fillId="2" borderId="135" xfId="0" applyFont="1" applyFill="1" applyBorder="1" applyAlignment="1">
      <alignment horizontal="center" vertical="center"/>
    </xf>
    <xf numFmtId="0" fontId="6" fillId="2" borderId="136" xfId="0" applyFont="1" applyFill="1" applyBorder="1" applyAlignment="1">
      <alignment horizontal="center" vertical="center"/>
    </xf>
    <xf numFmtId="0" fontId="6" fillId="2" borderId="137"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138" xfId="0" applyFont="1" applyFill="1" applyBorder="1" applyAlignment="1">
      <alignment horizontal="center" vertical="center"/>
    </xf>
    <xf numFmtId="0" fontId="10" fillId="13" borderId="13" xfId="0" applyFont="1" applyFill="1" applyBorder="1" applyAlignment="1" applyProtection="1">
      <alignment horizontal="center" vertical="center"/>
      <protection locked="0"/>
    </xf>
    <xf numFmtId="0" fontId="10" fillId="13" borderId="14" xfId="0" applyFont="1" applyFill="1" applyBorder="1" applyAlignment="1" applyProtection="1">
      <alignment horizontal="center" vertical="center"/>
      <protection locked="0"/>
    </xf>
    <xf numFmtId="0" fontId="10" fillId="13" borderId="15" xfId="0" applyFont="1" applyFill="1" applyBorder="1" applyAlignment="1" applyProtection="1">
      <alignment horizontal="center" vertical="center"/>
      <protection locked="0"/>
    </xf>
    <xf numFmtId="0" fontId="10" fillId="13" borderId="13" xfId="0" applyFont="1" applyFill="1" applyBorder="1" applyAlignment="1" applyProtection="1">
      <alignment horizontal="left" vertical="center" wrapText="1" indent="1"/>
      <protection locked="0"/>
    </xf>
    <xf numFmtId="0" fontId="10" fillId="13" borderId="14" xfId="0" applyFont="1" applyFill="1" applyBorder="1" applyAlignment="1" applyProtection="1">
      <alignment horizontal="left" vertical="center" wrapText="1" indent="1"/>
      <protection locked="0"/>
    </xf>
    <xf numFmtId="0" fontId="10" fillId="13" borderId="15" xfId="0" applyFont="1" applyFill="1" applyBorder="1" applyAlignment="1" applyProtection="1">
      <alignment horizontal="left" vertical="center" wrapText="1" indent="1"/>
      <protection locked="0"/>
    </xf>
    <xf numFmtId="0" fontId="19" fillId="2" borderId="27" xfId="0" applyFont="1" applyFill="1" applyBorder="1" applyAlignment="1">
      <alignment horizontal="center" vertical="center"/>
    </xf>
    <xf numFmtId="0" fontId="19" fillId="2" borderId="28" xfId="0" applyFont="1" applyFill="1" applyBorder="1" applyAlignment="1">
      <alignment horizontal="center" vertical="center"/>
    </xf>
    <xf numFmtId="0" fontId="19" fillId="2" borderId="144" xfId="0" applyFont="1" applyFill="1" applyBorder="1" applyAlignment="1">
      <alignment horizontal="center" vertical="center"/>
    </xf>
    <xf numFmtId="0" fontId="13" fillId="2" borderId="31" xfId="0" applyFont="1" applyFill="1" applyBorder="1" applyAlignment="1">
      <alignment horizontal="center" vertical="center"/>
    </xf>
    <xf numFmtId="0" fontId="13" fillId="2" borderId="32" xfId="0" applyFont="1" applyFill="1" applyBorder="1" applyAlignment="1">
      <alignment horizontal="center" vertical="center"/>
    </xf>
    <xf numFmtId="0" fontId="13" fillId="2" borderId="146" xfId="0" applyFont="1" applyFill="1" applyBorder="1" applyAlignment="1">
      <alignment horizontal="center" vertical="center"/>
    </xf>
    <xf numFmtId="0" fontId="18" fillId="2" borderId="143" xfId="0" applyFont="1" applyFill="1" applyBorder="1" applyAlignment="1">
      <alignment horizontal="center" vertical="center"/>
    </xf>
    <xf numFmtId="0" fontId="18" fillId="2" borderId="28" xfId="0" applyFont="1" applyFill="1" applyBorder="1" applyAlignment="1">
      <alignment horizontal="center" vertical="center"/>
    </xf>
    <xf numFmtId="0" fontId="18" fillId="2" borderId="145" xfId="0" applyFont="1" applyFill="1" applyBorder="1" applyAlignment="1">
      <alignment horizontal="center" vertical="center"/>
    </xf>
    <xf numFmtId="0" fontId="18" fillId="2" borderId="31" xfId="0" applyFont="1" applyFill="1" applyBorder="1" applyAlignment="1">
      <alignment horizontal="center" vertical="center"/>
    </xf>
    <xf numFmtId="0" fontId="19" fillId="2" borderId="29" xfId="0" applyFont="1" applyFill="1" applyBorder="1" applyAlignment="1">
      <alignment horizontal="center" vertical="center"/>
    </xf>
    <xf numFmtId="0" fontId="60" fillId="0" borderId="149" xfId="1" applyFont="1" applyBorder="1" applyAlignment="1">
      <alignment horizontal="left" vertical="center" indent="1"/>
    </xf>
    <xf numFmtId="0" fontId="60" fillId="0" borderId="41" xfId="1" applyFont="1" applyBorder="1" applyAlignment="1">
      <alignment horizontal="left" vertical="center" indent="1"/>
    </xf>
    <xf numFmtId="164" fontId="54" fillId="0" borderId="41" xfId="2" applyFont="1" applyBorder="1" applyAlignment="1" applyProtection="1">
      <alignment horizontal="right" vertical="center"/>
      <protection locked="0"/>
    </xf>
    <xf numFmtId="0" fontId="20" fillId="3" borderId="41" xfId="0" applyFont="1" applyFill="1" applyBorder="1" applyAlignment="1" applyProtection="1">
      <alignment vertical="center" wrapText="1"/>
      <protection locked="0"/>
    </xf>
    <xf numFmtId="0" fontId="20" fillId="3" borderId="42" xfId="0" applyFont="1" applyFill="1" applyBorder="1" applyAlignment="1" applyProtection="1">
      <alignment vertical="center" wrapText="1"/>
      <protection locked="0"/>
    </xf>
    <xf numFmtId="164" fontId="10" fillId="0" borderId="44" xfId="5" applyFont="1" applyBorder="1" applyAlignment="1" applyProtection="1">
      <alignment vertical="center"/>
      <protection locked="0"/>
    </xf>
    <xf numFmtId="0" fontId="20" fillId="0" borderId="44" xfId="0" applyFont="1" applyBorder="1" applyAlignment="1" applyProtection="1">
      <alignment vertical="center" wrapText="1"/>
      <protection locked="0"/>
    </xf>
    <xf numFmtId="0" fontId="20" fillId="0" borderId="150" xfId="0" applyFont="1" applyBorder="1" applyAlignment="1" applyProtection="1">
      <alignment vertical="center" wrapText="1"/>
      <protection locked="0"/>
    </xf>
    <xf numFmtId="0" fontId="60" fillId="0" borderId="151" xfId="1" applyFont="1" applyBorder="1" applyAlignment="1">
      <alignment horizontal="left" vertical="center" indent="1"/>
    </xf>
    <xf numFmtId="0" fontId="60" fillId="0" borderId="47" xfId="1" applyFont="1" applyBorder="1" applyAlignment="1">
      <alignment horizontal="left" vertical="center" indent="1"/>
    </xf>
    <xf numFmtId="164" fontId="54" fillId="0" borderId="47" xfId="2" applyFont="1" applyBorder="1" applyAlignment="1" applyProtection="1">
      <alignment horizontal="right" vertical="center"/>
      <protection locked="0"/>
    </xf>
    <xf numFmtId="0" fontId="20" fillId="0" borderId="47" xfId="0" applyFont="1" applyBorder="1" applyAlignment="1" applyProtection="1">
      <alignment vertical="center" wrapText="1"/>
      <protection locked="0"/>
    </xf>
    <xf numFmtId="0" fontId="20" fillId="0" borderId="48" xfId="0" applyFont="1" applyBorder="1" applyAlignment="1" applyProtection="1">
      <alignment vertical="center" wrapText="1"/>
      <protection locked="0"/>
    </xf>
    <xf numFmtId="164" fontId="10" fillId="0" borderId="50" xfId="5" applyFont="1" applyBorder="1" applyAlignment="1" applyProtection="1">
      <alignment vertical="center"/>
      <protection locked="0"/>
    </xf>
    <xf numFmtId="0" fontId="20" fillId="0" borderId="50" xfId="0" applyFont="1" applyBorder="1" applyAlignment="1" applyProtection="1">
      <alignment vertical="center" wrapText="1"/>
      <protection locked="0"/>
    </xf>
    <xf numFmtId="0" fontId="20" fillId="0" borderId="152" xfId="0" applyFont="1" applyBorder="1" applyAlignment="1" applyProtection="1">
      <alignment vertical="center" wrapText="1"/>
      <protection locked="0"/>
    </xf>
    <xf numFmtId="0" fontId="20" fillId="3" borderId="132" xfId="0" applyFont="1" applyFill="1" applyBorder="1" applyAlignment="1" applyProtection="1">
      <alignment vertical="center" wrapText="1"/>
      <protection locked="0"/>
    </xf>
    <xf numFmtId="0" fontId="20" fillId="3" borderId="133" xfId="0" applyFont="1" applyFill="1" applyBorder="1" applyAlignment="1" applyProtection="1">
      <alignment vertical="center" wrapText="1"/>
      <protection locked="0"/>
    </xf>
    <xf numFmtId="0" fontId="60" fillId="0" borderId="151" xfId="1" applyFont="1" applyBorder="1" applyAlignment="1">
      <alignment horizontal="left" vertical="center" wrapText="1" indent="1"/>
    </xf>
    <xf numFmtId="164" fontId="54" fillId="0" borderId="131" xfId="2" applyFont="1" applyBorder="1" applyAlignment="1" applyProtection="1">
      <alignment horizontal="right" vertical="center"/>
      <protection locked="0"/>
    </xf>
    <xf numFmtId="0" fontId="60" fillId="0" borderId="155" xfId="1" applyFont="1" applyBorder="1" applyAlignment="1">
      <alignment horizontal="left" vertical="center" indent="1"/>
    </xf>
    <xf numFmtId="0" fontId="60" fillId="0" borderId="59" xfId="1" applyFont="1" applyBorder="1" applyAlignment="1">
      <alignment horizontal="left" vertical="center" indent="1"/>
    </xf>
    <xf numFmtId="164" fontId="54" fillId="0" borderId="59" xfId="2" applyFont="1" applyBorder="1" applyAlignment="1" applyProtection="1">
      <alignment vertical="center"/>
      <protection locked="0"/>
    </xf>
    <xf numFmtId="0" fontId="20" fillId="0" borderId="59" xfId="0" applyFont="1" applyBorder="1" applyAlignment="1" applyProtection="1">
      <alignment vertical="center" wrapText="1"/>
      <protection locked="0"/>
    </xf>
    <xf numFmtId="0" fontId="20" fillId="0" borderId="60" xfId="0" applyFont="1" applyBorder="1" applyAlignment="1" applyProtection="1">
      <alignment vertical="center" wrapText="1"/>
      <protection locked="0"/>
    </xf>
    <xf numFmtId="164" fontId="10" fillId="0" borderId="62" xfId="5" applyFont="1" applyBorder="1" applyAlignment="1" applyProtection="1">
      <alignment vertical="center"/>
      <protection locked="0"/>
    </xf>
    <xf numFmtId="0" fontId="20" fillId="0" borderId="62" xfId="0" applyFont="1" applyBorder="1" applyAlignment="1" applyProtection="1">
      <alignment vertical="center" wrapText="1"/>
      <protection locked="0"/>
    </xf>
    <xf numFmtId="0" fontId="20" fillId="0" borderId="156" xfId="0" applyFont="1" applyBorder="1" applyAlignment="1" applyProtection="1">
      <alignment vertical="center" wrapText="1"/>
      <protection locked="0"/>
    </xf>
    <xf numFmtId="0" fontId="60" fillId="0" borderId="157" xfId="1" applyFont="1" applyBorder="1" applyAlignment="1">
      <alignment horizontal="left" vertical="center" indent="1"/>
    </xf>
    <xf numFmtId="0" fontId="60" fillId="0" borderId="65" xfId="1" applyFont="1" applyBorder="1" applyAlignment="1">
      <alignment horizontal="left" vertical="center" indent="1"/>
    </xf>
    <xf numFmtId="164" fontId="54" fillId="3" borderId="65" xfId="2" applyFont="1" applyFill="1" applyBorder="1" applyAlignment="1" applyProtection="1">
      <alignment vertical="center"/>
      <protection locked="0"/>
    </xf>
    <xf numFmtId="0" fontId="20" fillId="3" borderId="65" xfId="0" applyFont="1" applyFill="1" applyBorder="1" applyAlignment="1" applyProtection="1">
      <alignment vertical="center" wrapText="1"/>
      <protection locked="0"/>
    </xf>
    <xf numFmtId="0" fontId="20" fillId="3" borderId="66" xfId="0" applyFont="1" applyFill="1" applyBorder="1" applyAlignment="1" applyProtection="1">
      <alignment vertical="center" wrapText="1"/>
      <protection locked="0"/>
    </xf>
    <xf numFmtId="164" fontId="10" fillId="3" borderId="50" xfId="5" applyFont="1" applyFill="1" applyBorder="1" applyAlignment="1" applyProtection="1">
      <alignment vertical="center"/>
      <protection locked="0"/>
    </xf>
    <xf numFmtId="0" fontId="20" fillId="3" borderId="23" xfId="0" applyFont="1" applyFill="1" applyBorder="1" applyAlignment="1" applyProtection="1">
      <alignment vertical="center" wrapText="1"/>
      <protection locked="0"/>
    </xf>
    <xf numFmtId="0" fontId="20" fillId="3" borderId="24" xfId="0" applyFont="1" applyFill="1" applyBorder="1" applyAlignment="1" applyProtection="1">
      <alignment vertical="center" wrapText="1"/>
      <protection locked="0"/>
    </xf>
    <xf numFmtId="0" fontId="20" fillId="3" borderId="158" xfId="0" applyFont="1" applyFill="1" applyBorder="1" applyAlignment="1" applyProtection="1">
      <alignment vertical="center" wrapText="1"/>
      <protection locked="0"/>
    </xf>
    <xf numFmtId="39" fontId="10" fillId="5" borderId="55" xfId="0" applyNumberFormat="1" applyFont="1" applyFill="1" applyBorder="1" applyAlignment="1">
      <alignment horizontal="right" vertical="center"/>
    </xf>
    <xf numFmtId="39" fontId="10" fillId="5" borderId="69" xfId="0" applyNumberFormat="1" applyFont="1" applyFill="1" applyBorder="1" applyAlignment="1">
      <alignment horizontal="right" vertical="center"/>
    </xf>
    <xf numFmtId="0" fontId="11" fillId="5" borderId="55" xfId="0" applyFont="1" applyFill="1" applyBorder="1" applyAlignment="1">
      <alignment horizontal="center" vertical="center"/>
    </xf>
    <xf numFmtId="0" fontId="11" fillId="5" borderId="56" xfId="0" applyFont="1" applyFill="1" applyBorder="1" applyAlignment="1">
      <alignment horizontal="center" vertical="center"/>
    </xf>
    <xf numFmtId="0" fontId="11" fillId="5" borderId="69" xfId="0" applyFont="1" applyFill="1" applyBorder="1" applyAlignment="1">
      <alignment horizontal="center" vertical="center"/>
    </xf>
    <xf numFmtId="164" fontId="10" fillId="5" borderId="55" xfId="0" applyNumberFormat="1" applyFont="1" applyFill="1" applyBorder="1" applyAlignment="1">
      <alignment horizontal="center" vertical="center"/>
    </xf>
    <xf numFmtId="0" fontId="10" fillId="5" borderId="56" xfId="0" applyFont="1" applyFill="1" applyBorder="1" applyAlignment="1">
      <alignment horizontal="center" vertical="center"/>
    </xf>
    <xf numFmtId="0" fontId="10" fillId="5" borderId="69" xfId="0" applyFont="1" applyFill="1" applyBorder="1" applyAlignment="1">
      <alignment horizontal="center" vertical="center"/>
    </xf>
    <xf numFmtId="0" fontId="11" fillId="5" borderId="154" xfId="0" applyFont="1" applyFill="1" applyBorder="1" applyAlignment="1">
      <alignment horizontal="center" vertical="center"/>
    </xf>
    <xf numFmtId="0" fontId="10" fillId="0" borderId="159" xfId="0" applyFont="1" applyBorder="1" applyAlignment="1">
      <alignment horizontal="left" vertical="center"/>
    </xf>
    <xf numFmtId="0" fontId="2" fillId="0" borderId="74" xfId="0" applyFont="1" applyBorder="1" applyAlignment="1">
      <alignment vertical="center"/>
    </xf>
    <xf numFmtId="0" fontId="10" fillId="13" borderId="74" xfId="5" applyNumberFormat="1" applyFont="1" applyFill="1" applyBorder="1" applyAlignment="1" applyProtection="1">
      <alignment horizontal="left" vertical="center" wrapText="1"/>
      <protection locked="0"/>
    </xf>
    <xf numFmtId="0" fontId="22" fillId="13" borderId="74" xfId="0" applyFont="1" applyFill="1" applyBorder="1" applyAlignment="1">
      <alignment vertical="center" wrapText="1"/>
    </xf>
    <xf numFmtId="0" fontId="22" fillId="13" borderId="160" xfId="0" applyFont="1" applyFill="1" applyBorder="1" applyAlignment="1">
      <alignment vertical="center" wrapText="1"/>
    </xf>
    <xf numFmtId="0" fontId="10" fillId="7" borderId="71" xfId="0" applyFont="1" applyFill="1" applyBorder="1" applyAlignment="1">
      <alignment horizontal="center" vertical="center"/>
    </xf>
    <xf numFmtId="0" fontId="10" fillId="7" borderId="168" xfId="0" applyFont="1" applyFill="1" applyBorder="1" applyAlignment="1">
      <alignment horizontal="center" vertical="center"/>
    </xf>
    <xf numFmtId="0" fontId="10" fillId="7" borderId="129" xfId="0" applyFont="1" applyFill="1" applyBorder="1" applyAlignment="1">
      <alignment horizontal="center" vertical="center"/>
    </xf>
    <xf numFmtId="9" fontId="10" fillId="7" borderId="71" xfId="0" applyNumberFormat="1" applyFont="1" applyFill="1" applyBorder="1" applyAlignment="1">
      <alignment horizontal="center" vertical="center"/>
    </xf>
    <xf numFmtId="9" fontId="10" fillId="7" borderId="168" xfId="0" applyNumberFormat="1" applyFont="1" applyFill="1" applyBorder="1" applyAlignment="1">
      <alignment horizontal="center" vertical="center"/>
    </xf>
    <xf numFmtId="9" fontId="10" fillId="7" borderId="129" xfId="0" applyNumberFormat="1" applyFont="1" applyFill="1" applyBorder="1" applyAlignment="1">
      <alignment horizontal="center" vertical="center"/>
    </xf>
    <xf numFmtId="0" fontId="54" fillId="13" borderId="0" xfId="1" applyFont="1" applyFill="1" applyAlignment="1">
      <alignment horizontal="center"/>
    </xf>
    <xf numFmtId="0" fontId="10" fillId="7" borderId="70" xfId="0" applyFont="1" applyFill="1" applyBorder="1" applyAlignment="1">
      <alignment horizontal="center" vertical="center"/>
    </xf>
    <xf numFmtId="9" fontId="10" fillId="7" borderId="70" xfId="0" applyNumberFormat="1" applyFont="1" applyFill="1" applyBorder="1" applyAlignment="1">
      <alignment horizontal="center" vertical="center"/>
    </xf>
    <xf numFmtId="0" fontId="18" fillId="2" borderId="27" xfId="0" applyFont="1" applyFill="1" applyBorder="1" applyAlignment="1">
      <alignment horizontal="center" vertical="center"/>
    </xf>
    <xf numFmtId="0" fontId="18" fillId="2" borderId="30" xfId="0" applyFont="1" applyFill="1" applyBorder="1" applyAlignment="1">
      <alignment horizontal="center" vertical="center"/>
    </xf>
    <xf numFmtId="0" fontId="33" fillId="0" borderId="89" xfId="0" applyFont="1" applyBorder="1" applyAlignment="1">
      <alignment horizontal="center" vertical="center"/>
    </xf>
    <xf numFmtId="0" fontId="33" fillId="0" borderId="91" xfId="0" applyFont="1" applyBorder="1" applyAlignment="1">
      <alignment horizontal="center" vertical="center"/>
    </xf>
    <xf numFmtId="0" fontId="33" fillId="0" borderId="94" xfId="0" applyFont="1" applyBorder="1" applyAlignment="1">
      <alignment horizontal="center" vertical="center"/>
    </xf>
    <xf numFmtId="39" fontId="33" fillId="0" borderId="92" xfId="0" applyNumberFormat="1" applyFont="1" applyBorder="1" applyAlignment="1">
      <alignment horizontal="center" vertical="top"/>
    </xf>
    <xf numFmtId="0" fontId="33" fillId="0" borderId="93" xfId="0" applyFont="1" applyBorder="1" applyAlignment="1">
      <alignment horizontal="center" vertical="top"/>
    </xf>
    <xf numFmtId="0" fontId="33" fillId="0" borderId="95" xfId="0" applyFont="1" applyBorder="1" applyAlignment="1">
      <alignment horizontal="center" vertical="top"/>
    </xf>
    <xf numFmtId="0" fontId="33" fillId="13" borderId="165" xfId="0" applyFont="1" applyFill="1" applyBorder="1" applyAlignment="1">
      <alignment horizontal="center" vertical="top"/>
    </xf>
    <xf numFmtId="0" fontId="33" fillId="13" borderId="166" xfId="0" applyFont="1" applyFill="1" applyBorder="1" applyAlignment="1">
      <alignment horizontal="center" vertical="top"/>
    </xf>
    <xf numFmtId="0" fontId="33" fillId="13" borderId="167" xfId="0" applyFont="1" applyFill="1" applyBorder="1" applyAlignment="1">
      <alignment horizontal="center" vertical="top"/>
    </xf>
    <xf numFmtId="164" fontId="33" fillId="0" borderId="89" xfId="5" applyFont="1" applyBorder="1" applyAlignment="1">
      <alignment vertical="top"/>
    </xf>
    <xf numFmtId="164" fontId="33" fillId="0" borderId="91" xfId="5" applyFont="1" applyBorder="1" applyAlignment="1">
      <alignment vertical="top"/>
    </xf>
    <xf numFmtId="164" fontId="33" fillId="0" borderId="94" xfId="5" applyFont="1" applyBorder="1" applyAlignment="1">
      <alignment vertical="top"/>
    </xf>
    <xf numFmtId="0" fontId="33" fillId="0" borderId="92" xfId="0" applyFont="1" applyBorder="1" applyAlignment="1">
      <alignment horizontal="center" vertical="top"/>
    </xf>
    <xf numFmtId="0" fontId="19" fillId="2" borderId="98" xfId="0" applyFont="1" applyFill="1" applyBorder="1" applyAlignment="1">
      <alignment horizontal="center" vertical="center"/>
    </xf>
    <xf numFmtId="0" fontId="19" fillId="2" borderId="99" xfId="0" applyFont="1" applyFill="1" applyBorder="1" applyAlignment="1">
      <alignment horizontal="center" vertical="center"/>
    </xf>
    <xf numFmtId="0" fontId="19" fillId="2" borderId="100" xfId="0" applyFont="1" applyFill="1" applyBorder="1" applyAlignment="1">
      <alignment horizontal="center" vertical="center"/>
    </xf>
    <xf numFmtId="0" fontId="39" fillId="12" borderId="116" xfId="1" applyFont="1" applyFill="1" applyBorder="1" applyAlignment="1">
      <alignment horizontal="center" vertical="center" wrapText="1"/>
    </xf>
    <xf numFmtId="0" fontId="39" fillId="12" borderId="117" xfId="1" applyFont="1" applyFill="1" applyBorder="1" applyAlignment="1">
      <alignment horizontal="center" vertical="center" wrapText="1"/>
    </xf>
    <xf numFmtId="0" fontId="48" fillId="0" borderId="119" xfId="1" applyFont="1" applyBorder="1" applyAlignment="1">
      <alignment horizontal="left" vertical="top" wrapText="1"/>
    </xf>
    <xf numFmtId="0" fontId="22" fillId="0" borderId="121" xfId="1" applyFont="1" applyBorder="1" applyAlignment="1">
      <alignment horizontal="left" vertical="top" wrapText="1"/>
    </xf>
    <xf numFmtId="0" fontId="22" fillId="0" borderId="122" xfId="1" applyFont="1" applyBorder="1" applyAlignment="1">
      <alignment horizontal="left" vertical="top" wrapText="1"/>
    </xf>
    <xf numFmtId="0" fontId="22" fillId="0" borderId="124" xfId="1" applyFont="1" applyBorder="1" applyAlignment="1">
      <alignment horizontal="left" vertical="top" wrapText="1"/>
    </xf>
    <xf numFmtId="0" fontId="50" fillId="0" borderId="113" xfId="1" applyFont="1" applyBorder="1" applyAlignment="1">
      <alignment horizontal="justify" vertical="distributed" wrapText="1"/>
    </xf>
    <xf numFmtId="0" fontId="52" fillId="0" borderId="126" xfId="1" applyFont="1" applyBorder="1" applyAlignment="1">
      <alignment horizontal="center" vertical="center" wrapText="1"/>
    </xf>
    <xf numFmtId="0" fontId="11" fillId="5" borderId="57" xfId="0" applyFont="1" applyFill="1" applyBorder="1" applyAlignment="1">
      <alignment horizontal="center" vertical="center"/>
    </xf>
    <xf numFmtId="0" fontId="11" fillId="0" borderId="64" xfId="1" applyFont="1" applyBorder="1" applyAlignment="1">
      <alignment horizontal="left" vertical="center" indent="1"/>
    </xf>
    <xf numFmtId="0" fontId="11" fillId="0" borderId="65" xfId="1" applyFont="1" applyBorder="1" applyAlignment="1">
      <alignment horizontal="left" vertical="center" indent="1"/>
    </xf>
    <xf numFmtId="164" fontId="10" fillId="3" borderId="65" xfId="2" applyFont="1" applyFill="1" applyBorder="1" applyAlignment="1" applyProtection="1">
      <alignment vertical="center"/>
      <protection locked="0"/>
    </xf>
    <xf numFmtId="0" fontId="20" fillId="3" borderId="25" xfId="0" applyFont="1" applyFill="1" applyBorder="1" applyAlignment="1" applyProtection="1">
      <alignment vertical="center" wrapText="1"/>
      <protection locked="0"/>
    </xf>
    <xf numFmtId="0" fontId="11" fillId="0" borderId="58" xfId="1" applyFont="1" applyBorder="1" applyAlignment="1">
      <alignment horizontal="left" vertical="center" indent="1"/>
    </xf>
    <xf numFmtId="0" fontId="11" fillId="0" borderId="59" xfId="1" applyFont="1" applyBorder="1" applyAlignment="1">
      <alignment horizontal="left" vertical="center" indent="1"/>
    </xf>
    <xf numFmtId="164" fontId="10" fillId="0" borderId="59" xfId="2" applyFont="1" applyFill="1" applyBorder="1" applyAlignment="1" applyProtection="1">
      <alignment vertical="center"/>
      <protection locked="0"/>
    </xf>
    <xf numFmtId="164" fontId="10" fillId="0" borderId="62" xfId="5" applyFont="1" applyFill="1" applyBorder="1" applyAlignment="1" applyProtection="1">
      <alignment vertical="center"/>
      <protection locked="0"/>
    </xf>
    <xf numFmtId="0" fontId="20" fillId="0" borderId="63" xfId="0" applyFont="1" applyBorder="1" applyAlignment="1" applyProtection="1">
      <alignment vertical="center" wrapText="1"/>
      <protection locked="0"/>
    </xf>
    <xf numFmtId="0" fontId="20" fillId="0" borderId="51" xfId="0" applyFont="1" applyBorder="1" applyAlignment="1" applyProtection="1">
      <alignment vertical="center" wrapText="1"/>
      <protection locked="0"/>
    </xf>
    <xf numFmtId="0" fontId="11" fillId="0" borderId="46" xfId="1" applyFont="1" applyBorder="1" applyAlignment="1">
      <alignment horizontal="left" vertical="center" wrapText="1" indent="1"/>
    </xf>
    <xf numFmtId="0" fontId="11" fillId="0" borderId="47" xfId="1" applyFont="1" applyBorder="1" applyAlignment="1">
      <alignment horizontal="left" vertical="center" indent="1"/>
    </xf>
    <xf numFmtId="164" fontId="10" fillId="0" borderId="47" xfId="2" applyFont="1" applyFill="1" applyBorder="1" applyAlignment="1" applyProtection="1">
      <alignment vertical="center"/>
      <protection locked="0"/>
    </xf>
    <xf numFmtId="164" fontId="10" fillId="0" borderId="131" xfId="2" applyFont="1" applyFill="1" applyBorder="1" applyAlignment="1" applyProtection="1">
      <alignment vertical="center"/>
      <protection locked="0"/>
    </xf>
    <xf numFmtId="164" fontId="10" fillId="0" borderId="50" xfId="5" applyFont="1" applyFill="1" applyBorder="1" applyAlignment="1" applyProtection="1">
      <alignment vertical="center"/>
      <protection locked="0"/>
    </xf>
    <xf numFmtId="0" fontId="11" fillId="0" borderId="46" xfId="1" applyFont="1" applyBorder="1" applyAlignment="1">
      <alignment horizontal="left" vertical="center" indent="1"/>
    </xf>
    <xf numFmtId="0" fontId="11" fillId="0" borderId="40" xfId="1" applyFont="1" applyBorder="1" applyAlignment="1">
      <alignment horizontal="left" vertical="center" indent="1"/>
    </xf>
    <xf numFmtId="0" fontId="11" fillId="0" borderId="41" xfId="1" applyFont="1" applyBorder="1" applyAlignment="1">
      <alignment horizontal="left" vertical="center" indent="1"/>
    </xf>
    <xf numFmtId="164" fontId="10" fillId="0" borderId="41" xfId="2" applyFont="1" applyFill="1" applyBorder="1" applyAlignment="1" applyProtection="1">
      <alignment vertical="center"/>
      <protection locked="0"/>
    </xf>
    <xf numFmtId="164" fontId="10" fillId="0" borderId="44" xfId="5" applyFont="1" applyFill="1" applyBorder="1" applyAlignment="1" applyProtection="1">
      <alignment vertical="center"/>
      <protection locked="0"/>
    </xf>
    <xf numFmtId="0" fontId="20" fillId="0" borderId="45" xfId="0" applyFont="1" applyBorder="1" applyAlignment="1" applyProtection="1">
      <alignment vertical="center" wrapText="1"/>
      <protection locked="0"/>
    </xf>
    <xf numFmtId="14" fontId="11" fillId="13" borderId="17" xfId="0" applyNumberFormat="1" applyFont="1" applyFill="1" applyBorder="1" applyAlignment="1" applyProtection="1">
      <alignment horizontal="center" vertical="center"/>
      <protection locked="0"/>
    </xf>
    <xf numFmtId="14" fontId="11" fillId="13" borderId="18" xfId="0" applyNumberFormat="1" applyFont="1" applyFill="1" applyBorder="1" applyAlignment="1" applyProtection="1">
      <alignment horizontal="center" vertical="center"/>
      <protection locked="0"/>
    </xf>
    <xf numFmtId="14" fontId="11" fillId="13" borderId="19" xfId="0" applyNumberFormat="1" applyFont="1" applyFill="1" applyBorder="1" applyAlignment="1" applyProtection="1">
      <alignment horizontal="center" vertical="center"/>
      <protection locked="0"/>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6" xfId="0" applyFont="1" applyFill="1" applyBorder="1" applyAlignment="1">
      <alignment horizontal="center" vertical="center"/>
    </xf>
  </cellXfs>
  <cellStyles count="7">
    <cellStyle name="Comma" xfId="5" builtinId="3"/>
    <cellStyle name="Comma 2" xfId="2" xr:uid="{01C3C207-4CAA-4EA8-A909-8916817B1EA6}"/>
    <cellStyle name="Comma 3" xfId="3" xr:uid="{80F041F5-7F45-48E8-B484-B4302F76E7EA}"/>
    <cellStyle name="Normal" xfId="0" builtinId="0"/>
    <cellStyle name="Normal 2" xfId="1" xr:uid="{991FAD82-ADA8-47C9-9BC4-7F9BE10E1E2F}"/>
    <cellStyle name="Percent" xfId="6" builtinId="5"/>
    <cellStyle name="Percent 2" xfId="4" xr:uid="{06B20F61-4935-4807-9715-E1ADD1837406}"/>
  </cellStyles>
  <dxfs count="53">
    <dxf>
      <font>
        <color theme="0"/>
      </font>
    </dxf>
    <dxf>
      <font>
        <color theme="0"/>
      </font>
    </dxf>
    <dxf>
      <font>
        <color theme="0"/>
      </font>
    </dxf>
    <dxf>
      <font>
        <color theme="0"/>
      </font>
    </dxf>
    <dxf>
      <numFmt numFmtId="30" formatCode="@"/>
      <alignment wrapText="1"/>
    </dxf>
    <dxf>
      <numFmt numFmtId="0" formatCode="General"/>
      <alignment wrapText="1"/>
    </dxf>
    <dxf>
      <numFmt numFmtId="0" formatCode="General"/>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0" formatCode="General"/>
      <alignment wrapText="1"/>
    </dxf>
    <dxf>
      <numFmt numFmtId="30" formatCode="@"/>
      <alignment wrapText="1"/>
    </dxf>
    <dxf>
      <numFmt numFmtId="0" formatCode="General"/>
      <alignment wrapText="1"/>
    </dxf>
    <dxf>
      <numFmt numFmtId="30" formatCode="@"/>
      <alignment wrapText="1"/>
    </dxf>
    <dxf>
      <numFmt numFmtId="0" formatCode="General"/>
      <alignment wrapText="1"/>
    </dxf>
    <dxf>
      <numFmt numFmtId="0" formatCode="General"/>
      <alignment wrapText="1"/>
    </dxf>
    <dxf>
      <numFmt numFmtId="30" formatCode="@"/>
      <alignment wrapText="1"/>
    </dxf>
    <dxf>
      <numFmt numFmtId="30" formatCode="@"/>
      <alignment wrapText="1"/>
    </dxf>
    <dxf>
      <numFmt numFmtId="30" formatCode="@"/>
      <alignment wrapText="1"/>
    </dxf>
    <dxf>
      <numFmt numFmtId="0" formatCode="General"/>
      <alignment wrapText="1"/>
    </dxf>
    <dxf>
      <numFmt numFmtId="30" formatCode="@"/>
      <alignment wrapText="1"/>
    </dxf>
    <dxf>
      <numFmt numFmtId="0" formatCode="General"/>
      <alignment wrapText="1"/>
    </dxf>
    <dxf>
      <numFmt numFmtId="30" formatCode="@"/>
      <alignment wrapText="1"/>
    </dxf>
    <dxf>
      <numFmt numFmtId="0" formatCode="General"/>
      <alignment wrapText="1"/>
    </dxf>
    <dxf>
      <numFmt numFmtId="30" formatCode="@"/>
      <alignment wrapText="1"/>
    </dxf>
    <dxf>
      <numFmt numFmtId="30" formatCode="@"/>
      <alignment wrapText="1"/>
    </dxf>
    <dxf>
      <numFmt numFmtId="0" formatCode="General"/>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0" formatCode="General"/>
      <alignment wrapText="1"/>
    </dxf>
    <dxf>
      <numFmt numFmtId="30" formatCode="@"/>
      <alignment wrapText="1"/>
    </dxf>
    <dxf>
      <numFmt numFmtId="30" formatCode="@"/>
      <alignment wrapText="1"/>
    </dxf>
    <dxf>
      <alignment wrapText="1"/>
    </dxf>
    <dxf>
      <numFmt numFmtId="30" formatCode="@"/>
      <alignment wrapText="1"/>
    </dxf>
    <dxf>
      <numFmt numFmtId="30" formatCode="@"/>
      <alignment wrapText="1"/>
    </dxf>
    <dxf>
      <numFmt numFmtId="30" formatCode="@"/>
      <alignment wrapText="1"/>
    </dxf>
    <dxf>
      <numFmt numFmtId="30" formatCode="@"/>
      <alignment wrapText="1"/>
    </dxf>
    <dxf>
      <alignment wrapText="1"/>
    </dxf>
    <dxf>
      <alignment wrapText="1"/>
    </dxf>
    <dxf>
      <numFmt numFmtId="0" formatCode="General"/>
      <alignment wrapText="1"/>
    </dxf>
    <dxf>
      <alignment wrapText="1"/>
    </dxf>
  </dxfs>
  <tableStyles count="0" defaultTableStyle="TableStyleMedium2" defaultPivotStyle="PivotStyleLight16"/>
  <colors>
    <mruColors>
      <color rgb="FFE8C406"/>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checked="Checked"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checked="Checked"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checked="Checked"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checked="Checked"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checked="Checked"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checked="Checked" lockText="1" noThreeD="1"/>
</file>

<file path=xl/ctrlProps/ctrlProp170.xml><?xml version="1.0" encoding="utf-8"?>
<formControlPr xmlns="http://schemas.microsoft.com/office/spreadsheetml/2009/9/main" objectType="CheckBox" checked="Checked"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checked="Checked" lockText="1" noThreeD="1"/>
</file>

<file path=xl/ctrlProps/ctrlProp196.xml><?xml version="1.0" encoding="utf-8"?>
<formControlPr xmlns="http://schemas.microsoft.com/office/spreadsheetml/2009/9/main" objectType="CheckBox" checked="Checked"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checked="Checked"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checked="Checked" lockText="1" noThreeD="1"/>
</file>

<file path=xl/ctrlProps/ctrlProp223.xml><?xml version="1.0" encoding="utf-8"?>
<formControlPr xmlns="http://schemas.microsoft.com/office/spreadsheetml/2009/9/main" objectType="CheckBox" checked="Checked"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checked="Checked"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checked="Checked" lockText="1" noThreeD="1"/>
</file>

<file path=xl/ctrlProps/ctrlProp228.xml><?xml version="1.0" encoding="utf-8"?>
<formControlPr xmlns="http://schemas.microsoft.com/office/spreadsheetml/2009/9/main" objectType="CheckBox" checked="Checked"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checked="Checked"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checked="Checked"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checked="Checked"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checked="Checked"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checked="Checked"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checked="Checked"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checked="Checked"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checked="Checked"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checked="Checked" lockText="1" noThreeD="1"/>
</file>

<file path=xl/ctrlProps/ctrlProp277.xml><?xml version="1.0" encoding="utf-8"?>
<formControlPr xmlns="http://schemas.microsoft.com/office/spreadsheetml/2009/9/main" objectType="CheckBox" checked="Checked"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checked="Checked"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checked="Checked" lockText="1" noThreeD="1"/>
</file>

<file path=xl/ctrlProps/ctrlProp325.xml><?xml version="1.0" encoding="utf-8"?>
<formControlPr xmlns="http://schemas.microsoft.com/office/spreadsheetml/2009/9/main" objectType="CheckBox" checked="Checked"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checked="Checked"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ctrlProps/ctrlProp399.xml><?xml version="1.0" encoding="utf-8"?>
<formControlPr xmlns="http://schemas.microsoft.com/office/spreadsheetml/2009/9/main" objectType="CheckBox" lockText="1" noThreeD="1"/>
</file>

<file path=xl/ctrlProps/ctrlProp400.xml><?xml version="1.0" encoding="utf-8"?>
<formControlPr xmlns="http://schemas.microsoft.com/office/spreadsheetml/2009/9/main" objectType="CheckBox" lockText="1" noThreeD="1"/>
</file>

<file path=xl/ctrlProps/ctrlProp401.xml><?xml version="1.0" encoding="utf-8"?>
<formControlPr xmlns="http://schemas.microsoft.com/office/spreadsheetml/2009/9/main" objectType="CheckBox" lockText="1" noThreeD="1"/>
</file>

<file path=xl/ctrlProps/ctrlProp402.xml><?xml version="1.0" encoding="utf-8"?>
<formControlPr xmlns="http://schemas.microsoft.com/office/spreadsheetml/2009/9/main" objectType="CheckBox" lockText="1" noThreeD="1"/>
</file>

<file path=xl/ctrlProps/ctrlProp403.xml><?xml version="1.0" encoding="utf-8"?>
<formControlPr xmlns="http://schemas.microsoft.com/office/spreadsheetml/2009/9/main" objectType="CheckBox" lockText="1" noThreeD="1"/>
</file>

<file path=xl/ctrlProps/ctrlProp404.xml><?xml version="1.0" encoding="utf-8"?>
<formControlPr xmlns="http://schemas.microsoft.com/office/spreadsheetml/2009/9/main" objectType="CheckBox" lockText="1" noThreeD="1"/>
</file>

<file path=xl/ctrlProps/ctrlProp405.xml><?xml version="1.0" encoding="utf-8"?>
<formControlPr xmlns="http://schemas.microsoft.com/office/spreadsheetml/2009/9/main" objectType="CheckBox" checked="Checked" lockText="1" noThreeD="1"/>
</file>

<file path=xl/ctrlProps/ctrlProp406.xml><?xml version="1.0" encoding="utf-8"?>
<formControlPr xmlns="http://schemas.microsoft.com/office/spreadsheetml/2009/9/main" objectType="CheckBox" lockText="1" noThreeD="1"/>
</file>

<file path=xl/ctrlProps/ctrlProp407.xml><?xml version="1.0" encoding="utf-8"?>
<formControlPr xmlns="http://schemas.microsoft.com/office/spreadsheetml/2009/9/main" objectType="CheckBox" lockText="1" noThreeD="1"/>
</file>

<file path=xl/ctrlProps/ctrlProp408.xml><?xml version="1.0" encoding="utf-8"?>
<formControlPr xmlns="http://schemas.microsoft.com/office/spreadsheetml/2009/9/main" objectType="CheckBox" lockText="1" noThreeD="1"/>
</file>

<file path=xl/ctrlProps/ctrlProp409.xml><?xml version="1.0" encoding="utf-8"?>
<formControlPr xmlns="http://schemas.microsoft.com/office/spreadsheetml/2009/9/main" objectType="CheckBox" lockText="1" noThreeD="1"/>
</file>

<file path=xl/ctrlProps/ctrlProp410.xml><?xml version="1.0" encoding="utf-8"?>
<formControlPr xmlns="http://schemas.microsoft.com/office/spreadsheetml/2009/9/main" objectType="CheckBox" lockText="1" noThreeD="1"/>
</file>

<file path=xl/ctrlProps/ctrlProp411.xml><?xml version="1.0" encoding="utf-8"?>
<formControlPr xmlns="http://schemas.microsoft.com/office/spreadsheetml/2009/9/main" objectType="CheckBox" checked="Checked" lockText="1" noThreeD="1"/>
</file>

<file path=xl/ctrlProps/ctrlProp412.xml><?xml version="1.0" encoding="utf-8"?>
<formControlPr xmlns="http://schemas.microsoft.com/office/spreadsheetml/2009/9/main" objectType="CheckBox" lockText="1" noThreeD="1"/>
</file>

<file path=xl/ctrlProps/ctrlProp413.xml><?xml version="1.0" encoding="utf-8"?>
<formControlPr xmlns="http://schemas.microsoft.com/office/spreadsheetml/2009/9/main" objectType="CheckBox" lockText="1" noThreeD="1"/>
</file>

<file path=xl/ctrlProps/ctrlProp414.xml><?xml version="1.0" encoding="utf-8"?>
<formControlPr xmlns="http://schemas.microsoft.com/office/spreadsheetml/2009/9/main" objectType="CheckBox" lockText="1" noThreeD="1"/>
</file>

<file path=xl/ctrlProps/ctrlProp415.xml><?xml version="1.0" encoding="utf-8"?>
<formControlPr xmlns="http://schemas.microsoft.com/office/spreadsheetml/2009/9/main" objectType="CheckBox" lockText="1" noThreeD="1"/>
</file>

<file path=xl/ctrlProps/ctrlProp416.xml><?xml version="1.0" encoding="utf-8"?>
<formControlPr xmlns="http://schemas.microsoft.com/office/spreadsheetml/2009/9/main" objectType="CheckBox" lockText="1" noThreeD="1"/>
</file>

<file path=xl/ctrlProps/ctrlProp417.xml><?xml version="1.0" encoding="utf-8"?>
<formControlPr xmlns="http://schemas.microsoft.com/office/spreadsheetml/2009/9/main" objectType="CheckBox" checked="Checked" lockText="1" noThreeD="1"/>
</file>

<file path=xl/ctrlProps/ctrlProp418.xml><?xml version="1.0" encoding="utf-8"?>
<formControlPr xmlns="http://schemas.microsoft.com/office/spreadsheetml/2009/9/main" objectType="CheckBox" lockText="1" noThreeD="1"/>
</file>

<file path=xl/ctrlProps/ctrlProp419.xml><?xml version="1.0" encoding="utf-8"?>
<formControlPr xmlns="http://schemas.microsoft.com/office/spreadsheetml/2009/9/main" objectType="CheckBox" lockText="1" noThreeD="1"/>
</file>

<file path=xl/ctrlProps/ctrlProp420.xml><?xml version="1.0" encoding="utf-8"?>
<formControlPr xmlns="http://schemas.microsoft.com/office/spreadsheetml/2009/9/main" objectType="CheckBox" lockText="1" noThreeD="1"/>
</file>

<file path=xl/ctrlProps/ctrlProp421.xml><?xml version="1.0" encoding="utf-8"?>
<formControlPr xmlns="http://schemas.microsoft.com/office/spreadsheetml/2009/9/main" objectType="CheckBox" lockText="1" noThreeD="1"/>
</file>

<file path=xl/ctrlProps/ctrlProp422.xml><?xml version="1.0" encoding="utf-8"?>
<formControlPr xmlns="http://schemas.microsoft.com/office/spreadsheetml/2009/9/main" objectType="CheckBox" lockText="1" noThreeD="1"/>
</file>

<file path=xl/ctrlProps/ctrlProp423.xml><?xml version="1.0" encoding="utf-8"?>
<formControlPr xmlns="http://schemas.microsoft.com/office/spreadsheetml/2009/9/main" objectType="CheckBox" checked="Checked" lockText="1" noThreeD="1"/>
</file>

<file path=xl/ctrlProps/ctrlProp424.xml><?xml version="1.0" encoding="utf-8"?>
<formControlPr xmlns="http://schemas.microsoft.com/office/spreadsheetml/2009/9/main" objectType="CheckBox" lockText="1" noThreeD="1"/>
</file>

<file path=xl/ctrlProps/ctrlProp425.xml><?xml version="1.0" encoding="utf-8"?>
<formControlPr xmlns="http://schemas.microsoft.com/office/spreadsheetml/2009/9/main" objectType="CheckBox" lockText="1" noThreeD="1"/>
</file>

<file path=xl/ctrlProps/ctrlProp426.xml><?xml version="1.0" encoding="utf-8"?>
<formControlPr xmlns="http://schemas.microsoft.com/office/spreadsheetml/2009/9/main" objectType="CheckBox" lockText="1" noThreeD="1"/>
</file>

<file path=xl/ctrlProps/ctrlProp427.xml><?xml version="1.0" encoding="utf-8"?>
<formControlPr xmlns="http://schemas.microsoft.com/office/spreadsheetml/2009/9/main" objectType="CheckBox" lockText="1" noThreeD="1"/>
</file>

<file path=xl/ctrlProps/ctrlProp428.xml><?xml version="1.0" encoding="utf-8"?>
<formControlPr xmlns="http://schemas.microsoft.com/office/spreadsheetml/2009/9/main" objectType="CheckBox" lockText="1" noThreeD="1"/>
</file>

<file path=xl/ctrlProps/ctrlProp429.xml><?xml version="1.0" encoding="utf-8"?>
<formControlPr xmlns="http://schemas.microsoft.com/office/spreadsheetml/2009/9/main" objectType="CheckBox" lockText="1" noThreeD="1"/>
</file>

<file path=xl/ctrlProps/ctrlProp430.xml><?xml version="1.0" encoding="utf-8"?>
<formControlPr xmlns="http://schemas.microsoft.com/office/spreadsheetml/2009/9/main" objectType="CheckBox" lockText="1" noThreeD="1"/>
</file>

<file path=xl/ctrlProps/ctrlProp431.xml><?xml version="1.0" encoding="utf-8"?>
<formControlPr xmlns="http://schemas.microsoft.com/office/spreadsheetml/2009/9/main" objectType="CheckBox" lockText="1" noThreeD="1"/>
</file>

<file path=xl/ctrlProps/ctrlProp432.xml><?xml version="1.0" encoding="utf-8"?>
<formControlPr xmlns="http://schemas.microsoft.com/office/spreadsheetml/2009/9/main" objectType="CheckBox" lockText="1" noThreeD="1"/>
</file>

<file path=xl/ctrlProps/ctrlProp433.xml><?xml version="1.0" encoding="utf-8"?>
<formControlPr xmlns="http://schemas.microsoft.com/office/spreadsheetml/2009/9/main" objectType="CheckBox" lockText="1" noThreeD="1"/>
</file>

<file path=xl/ctrlProps/ctrlProp434.xml><?xml version="1.0" encoding="utf-8"?>
<formControlPr xmlns="http://schemas.microsoft.com/office/spreadsheetml/2009/9/main" objectType="CheckBox" lockText="1" noThreeD="1"/>
</file>

<file path=xl/ctrlProps/ctrlProp435.xml><?xml version="1.0" encoding="utf-8"?>
<formControlPr xmlns="http://schemas.microsoft.com/office/spreadsheetml/2009/9/main" objectType="CheckBox" lockText="1" noThreeD="1"/>
</file>

<file path=xl/ctrlProps/ctrlProp436.xml><?xml version="1.0" encoding="utf-8"?>
<formControlPr xmlns="http://schemas.microsoft.com/office/spreadsheetml/2009/9/main" objectType="CheckBox" lockText="1" noThreeD="1"/>
</file>

<file path=xl/ctrlProps/ctrlProp437.xml><?xml version="1.0" encoding="utf-8"?>
<formControlPr xmlns="http://schemas.microsoft.com/office/spreadsheetml/2009/9/main" objectType="CheckBox" lockText="1" noThreeD="1"/>
</file>

<file path=xl/ctrlProps/ctrlProp438.xml><?xml version="1.0" encoding="utf-8"?>
<formControlPr xmlns="http://schemas.microsoft.com/office/spreadsheetml/2009/9/main" objectType="CheckBox" lockText="1" noThreeD="1"/>
</file>

<file path=xl/ctrlProps/ctrlProp439.xml><?xml version="1.0" encoding="utf-8"?>
<formControlPr xmlns="http://schemas.microsoft.com/office/spreadsheetml/2009/9/main" objectType="CheckBox" lockText="1" noThreeD="1"/>
</file>

<file path=xl/ctrlProps/ctrlProp440.xml><?xml version="1.0" encoding="utf-8"?>
<formControlPr xmlns="http://schemas.microsoft.com/office/spreadsheetml/2009/9/main" objectType="CheckBox" lockText="1" noThreeD="1"/>
</file>

<file path=xl/ctrlProps/ctrlProp441.xml><?xml version="1.0" encoding="utf-8"?>
<formControlPr xmlns="http://schemas.microsoft.com/office/spreadsheetml/2009/9/main" objectType="CheckBox" lockText="1" noThreeD="1"/>
</file>

<file path=xl/ctrlProps/ctrlProp442.xml><?xml version="1.0" encoding="utf-8"?>
<formControlPr xmlns="http://schemas.microsoft.com/office/spreadsheetml/2009/9/main" objectType="CheckBox" lockText="1" noThreeD="1"/>
</file>

<file path=xl/ctrlProps/ctrlProp443.xml><?xml version="1.0" encoding="utf-8"?>
<formControlPr xmlns="http://schemas.microsoft.com/office/spreadsheetml/2009/9/main" objectType="CheckBox" lockText="1" noThreeD="1"/>
</file>

<file path=xl/ctrlProps/ctrlProp444.xml><?xml version="1.0" encoding="utf-8"?>
<formControlPr xmlns="http://schemas.microsoft.com/office/spreadsheetml/2009/9/main" objectType="CheckBox" lockText="1" noThreeD="1"/>
</file>

<file path=xl/ctrlProps/ctrlProp445.xml><?xml version="1.0" encoding="utf-8"?>
<formControlPr xmlns="http://schemas.microsoft.com/office/spreadsheetml/2009/9/main" objectType="CheckBox" lockText="1" noThreeD="1"/>
</file>

<file path=xl/ctrlProps/ctrlProp446.xml><?xml version="1.0" encoding="utf-8"?>
<formControlPr xmlns="http://schemas.microsoft.com/office/spreadsheetml/2009/9/main" objectType="CheckBox" lockText="1" noThreeD="1"/>
</file>

<file path=xl/ctrlProps/ctrlProp447.xml><?xml version="1.0" encoding="utf-8"?>
<formControlPr xmlns="http://schemas.microsoft.com/office/spreadsheetml/2009/9/main" objectType="CheckBox" lockText="1" noThreeD="1"/>
</file>

<file path=xl/ctrlProps/ctrlProp448.xml><?xml version="1.0" encoding="utf-8"?>
<formControlPr xmlns="http://schemas.microsoft.com/office/spreadsheetml/2009/9/main" objectType="CheckBox" lockText="1" noThreeD="1"/>
</file>

<file path=xl/ctrlProps/ctrlProp449.xml><?xml version="1.0" encoding="utf-8"?>
<formControlPr xmlns="http://schemas.microsoft.com/office/spreadsheetml/2009/9/main" objectType="CheckBox" lockText="1" noThreeD="1"/>
</file>

<file path=xl/ctrlProps/ctrlProp450.xml><?xml version="1.0" encoding="utf-8"?>
<formControlPr xmlns="http://schemas.microsoft.com/office/spreadsheetml/2009/9/main" objectType="CheckBox" lockText="1" noThreeD="1"/>
</file>

<file path=xl/ctrlProps/ctrlProp451.xml><?xml version="1.0" encoding="utf-8"?>
<formControlPr xmlns="http://schemas.microsoft.com/office/spreadsheetml/2009/9/main" objectType="CheckBox" lockText="1" noThreeD="1"/>
</file>

<file path=xl/ctrlProps/ctrlProp452.xml><?xml version="1.0" encoding="utf-8"?>
<formControlPr xmlns="http://schemas.microsoft.com/office/spreadsheetml/2009/9/main" objectType="CheckBox" lockText="1" noThreeD="1"/>
</file>

<file path=xl/ctrlProps/ctrlProp453.xml><?xml version="1.0" encoding="utf-8"?>
<formControlPr xmlns="http://schemas.microsoft.com/office/spreadsheetml/2009/9/main" objectType="CheckBox" lockText="1" noThreeD="1"/>
</file>

<file path=xl/ctrlProps/ctrlProp454.xml><?xml version="1.0" encoding="utf-8"?>
<formControlPr xmlns="http://schemas.microsoft.com/office/spreadsheetml/2009/9/main" objectType="CheckBox" lockText="1" noThreeD="1"/>
</file>

<file path=xl/ctrlProps/ctrlProp455.xml><?xml version="1.0" encoding="utf-8"?>
<formControlPr xmlns="http://schemas.microsoft.com/office/spreadsheetml/2009/9/main" objectType="CheckBox" lockText="1" noThreeD="1"/>
</file>

<file path=xl/ctrlProps/ctrlProp456.xml><?xml version="1.0" encoding="utf-8"?>
<formControlPr xmlns="http://schemas.microsoft.com/office/spreadsheetml/2009/9/main" objectType="CheckBox" lockText="1" noThreeD="1"/>
</file>

<file path=xl/ctrlProps/ctrlProp457.xml><?xml version="1.0" encoding="utf-8"?>
<formControlPr xmlns="http://schemas.microsoft.com/office/spreadsheetml/2009/9/main" objectType="CheckBox" lockText="1" noThreeD="1"/>
</file>

<file path=xl/ctrlProps/ctrlProp458.xml><?xml version="1.0" encoding="utf-8"?>
<formControlPr xmlns="http://schemas.microsoft.com/office/spreadsheetml/2009/9/main" objectType="CheckBox" lockText="1" noThreeD="1"/>
</file>

<file path=xl/ctrlProps/ctrlProp459.xml><?xml version="1.0" encoding="utf-8"?>
<formControlPr xmlns="http://schemas.microsoft.com/office/spreadsheetml/2009/9/main" objectType="CheckBox" lockText="1" noThreeD="1"/>
</file>

<file path=xl/ctrlProps/ctrlProp460.xml><?xml version="1.0" encoding="utf-8"?>
<formControlPr xmlns="http://schemas.microsoft.com/office/spreadsheetml/2009/9/main" objectType="CheckBox" lockText="1" noThreeD="1"/>
</file>

<file path=xl/ctrlProps/ctrlProp461.xml><?xml version="1.0" encoding="utf-8"?>
<formControlPr xmlns="http://schemas.microsoft.com/office/spreadsheetml/2009/9/main" objectType="CheckBox" lockText="1" noThreeD="1"/>
</file>

<file path=xl/ctrlProps/ctrlProp462.xml><?xml version="1.0" encoding="utf-8"?>
<formControlPr xmlns="http://schemas.microsoft.com/office/spreadsheetml/2009/9/main" objectType="CheckBox" lockText="1" noThreeD="1"/>
</file>

<file path=xl/ctrlProps/ctrlProp463.xml><?xml version="1.0" encoding="utf-8"?>
<formControlPr xmlns="http://schemas.microsoft.com/office/spreadsheetml/2009/9/main" objectType="CheckBox" lockText="1" noThreeD="1"/>
</file>

<file path=xl/ctrlProps/ctrlProp464.xml><?xml version="1.0" encoding="utf-8"?>
<formControlPr xmlns="http://schemas.microsoft.com/office/spreadsheetml/2009/9/main" objectType="CheckBox" lockText="1" noThreeD="1"/>
</file>

<file path=xl/ctrlProps/ctrlProp465.xml><?xml version="1.0" encoding="utf-8"?>
<formControlPr xmlns="http://schemas.microsoft.com/office/spreadsheetml/2009/9/main" objectType="CheckBox" lockText="1" noThreeD="1"/>
</file>

<file path=xl/ctrlProps/ctrlProp466.xml><?xml version="1.0" encoding="utf-8"?>
<formControlPr xmlns="http://schemas.microsoft.com/office/spreadsheetml/2009/9/main" objectType="CheckBox" checked="Checked" lockText="1" noThreeD="1"/>
</file>

<file path=xl/ctrlProps/ctrlProp467.xml><?xml version="1.0" encoding="utf-8"?>
<formControlPr xmlns="http://schemas.microsoft.com/office/spreadsheetml/2009/9/main" objectType="CheckBox" lockText="1" noThreeD="1"/>
</file>

<file path=xl/ctrlProps/ctrlProp468.xml><?xml version="1.0" encoding="utf-8"?>
<formControlPr xmlns="http://schemas.microsoft.com/office/spreadsheetml/2009/9/main" objectType="CheckBox" lockText="1" noThreeD="1"/>
</file>

<file path=xl/ctrlProps/ctrlProp469.xml><?xml version="1.0" encoding="utf-8"?>
<formControlPr xmlns="http://schemas.microsoft.com/office/spreadsheetml/2009/9/main" objectType="CheckBox" lockText="1" noThreeD="1"/>
</file>

<file path=xl/ctrlProps/ctrlProp470.xml><?xml version="1.0" encoding="utf-8"?>
<formControlPr xmlns="http://schemas.microsoft.com/office/spreadsheetml/2009/9/main" objectType="CheckBox" lockText="1" noThreeD="1"/>
</file>

<file path=xl/ctrlProps/ctrlProp471.xml><?xml version="1.0" encoding="utf-8"?>
<formControlPr xmlns="http://schemas.microsoft.com/office/spreadsheetml/2009/9/main" objectType="CheckBox" lockText="1" noThreeD="1"/>
</file>

<file path=xl/ctrlProps/ctrlProp472.xml><?xml version="1.0" encoding="utf-8"?>
<formControlPr xmlns="http://schemas.microsoft.com/office/spreadsheetml/2009/9/main" objectType="CheckBox" lockText="1" noThreeD="1"/>
</file>

<file path=xl/ctrlProps/ctrlProp473.xml><?xml version="1.0" encoding="utf-8"?>
<formControlPr xmlns="http://schemas.microsoft.com/office/spreadsheetml/2009/9/main" objectType="CheckBox" lockText="1" noThreeD="1"/>
</file>

<file path=xl/ctrlProps/ctrlProp474.xml><?xml version="1.0" encoding="utf-8"?>
<formControlPr xmlns="http://schemas.microsoft.com/office/spreadsheetml/2009/9/main" objectType="CheckBox" lockText="1" noThreeD="1"/>
</file>

<file path=xl/ctrlProps/ctrlProp475.xml><?xml version="1.0" encoding="utf-8"?>
<formControlPr xmlns="http://schemas.microsoft.com/office/spreadsheetml/2009/9/main" objectType="CheckBox" lockText="1" noThreeD="1"/>
</file>

<file path=xl/ctrlProps/ctrlProp476.xml><?xml version="1.0" encoding="utf-8"?>
<formControlPr xmlns="http://schemas.microsoft.com/office/spreadsheetml/2009/9/main" objectType="CheckBox" lockText="1" noThreeD="1"/>
</file>

<file path=xl/ctrlProps/ctrlProp477.xml><?xml version="1.0" encoding="utf-8"?>
<formControlPr xmlns="http://schemas.microsoft.com/office/spreadsheetml/2009/9/main" objectType="CheckBox" checked="Checked" lockText="1" noThreeD="1"/>
</file>

<file path=xl/ctrlProps/ctrlProp478.xml><?xml version="1.0" encoding="utf-8"?>
<formControlPr xmlns="http://schemas.microsoft.com/office/spreadsheetml/2009/9/main" objectType="CheckBox" lockText="1" noThreeD="1"/>
</file>

<file path=xl/ctrlProps/ctrlProp479.xml><?xml version="1.0" encoding="utf-8"?>
<formControlPr xmlns="http://schemas.microsoft.com/office/spreadsheetml/2009/9/main" objectType="CheckBox" checked="Checked" lockText="1" noThreeD="1"/>
</file>

<file path=xl/ctrlProps/ctrlProp480.xml><?xml version="1.0" encoding="utf-8"?>
<formControlPr xmlns="http://schemas.microsoft.com/office/spreadsheetml/2009/9/main" objectType="CheckBox" checked="Checked" lockText="1" noThreeD="1"/>
</file>

<file path=xl/ctrlProps/ctrlProp481.xml><?xml version="1.0" encoding="utf-8"?>
<formControlPr xmlns="http://schemas.microsoft.com/office/spreadsheetml/2009/9/main" objectType="CheckBox" lockText="1" noThreeD="1"/>
</file>

<file path=xl/ctrlProps/ctrlProp482.xml><?xml version="1.0" encoding="utf-8"?>
<formControlPr xmlns="http://schemas.microsoft.com/office/spreadsheetml/2009/9/main" objectType="CheckBox" lockText="1" noThreeD="1"/>
</file>

<file path=xl/ctrlProps/ctrlProp483.xml><?xml version="1.0" encoding="utf-8"?>
<formControlPr xmlns="http://schemas.microsoft.com/office/spreadsheetml/2009/9/main" objectType="CheckBox" lockText="1" noThreeD="1"/>
</file>

<file path=xl/ctrlProps/ctrlProp484.xml><?xml version="1.0" encoding="utf-8"?>
<formControlPr xmlns="http://schemas.microsoft.com/office/spreadsheetml/2009/9/main" objectType="CheckBox" lockText="1" noThreeD="1"/>
</file>

<file path=xl/ctrlProps/ctrlProp485.xml><?xml version="1.0" encoding="utf-8"?>
<formControlPr xmlns="http://schemas.microsoft.com/office/spreadsheetml/2009/9/main" objectType="CheckBox" lockText="1" noThreeD="1"/>
</file>

<file path=xl/ctrlProps/ctrlProp486.xml><?xml version="1.0" encoding="utf-8"?>
<formControlPr xmlns="http://schemas.microsoft.com/office/spreadsheetml/2009/9/main" objectType="CheckBox" lockText="1" noThreeD="1"/>
</file>

<file path=xl/ctrlProps/ctrlProp487.xml><?xml version="1.0" encoding="utf-8"?>
<formControlPr xmlns="http://schemas.microsoft.com/office/spreadsheetml/2009/9/main" objectType="CheckBox" lockText="1" noThreeD="1"/>
</file>

<file path=xl/ctrlProps/ctrlProp488.xml><?xml version="1.0" encoding="utf-8"?>
<formControlPr xmlns="http://schemas.microsoft.com/office/spreadsheetml/2009/9/main" objectType="CheckBox" lockText="1" noThreeD="1"/>
</file>

<file path=xl/ctrlProps/ctrlProp489.xml><?xml version="1.0" encoding="utf-8"?>
<formControlPr xmlns="http://schemas.microsoft.com/office/spreadsheetml/2009/9/main" objectType="CheckBox" lockText="1" noThreeD="1"/>
</file>

<file path=xl/ctrlProps/ctrlProp490.xml><?xml version="1.0" encoding="utf-8"?>
<formControlPr xmlns="http://schemas.microsoft.com/office/spreadsheetml/2009/9/main" objectType="CheckBox" lockText="1" noThreeD="1"/>
</file>

<file path=xl/ctrlProps/ctrlProp491.xml><?xml version="1.0" encoding="utf-8"?>
<formControlPr xmlns="http://schemas.microsoft.com/office/spreadsheetml/2009/9/main" objectType="CheckBox" lockText="1" noThreeD="1"/>
</file>

<file path=xl/ctrlProps/ctrlProp492.xml><?xml version="1.0" encoding="utf-8"?>
<formControlPr xmlns="http://schemas.microsoft.com/office/spreadsheetml/2009/9/main" objectType="CheckBox" lockText="1" noThreeD="1"/>
</file>

<file path=xl/ctrlProps/ctrlProp493.xml><?xml version="1.0" encoding="utf-8"?>
<formControlPr xmlns="http://schemas.microsoft.com/office/spreadsheetml/2009/9/main" objectType="CheckBox" lockText="1" noThreeD="1"/>
</file>

<file path=xl/ctrlProps/ctrlProp494.xml><?xml version="1.0" encoding="utf-8"?>
<formControlPr xmlns="http://schemas.microsoft.com/office/spreadsheetml/2009/9/main" objectType="CheckBox" lockText="1" noThreeD="1"/>
</file>

<file path=xl/ctrlProps/ctrlProp495.xml><?xml version="1.0" encoding="utf-8"?>
<formControlPr xmlns="http://schemas.microsoft.com/office/spreadsheetml/2009/9/main" objectType="CheckBox" lockText="1" noThreeD="1"/>
</file>

<file path=xl/ctrlProps/ctrlProp496.xml><?xml version="1.0" encoding="utf-8"?>
<formControlPr xmlns="http://schemas.microsoft.com/office/spreadsheetml/2009/9/main" objectType="CheckBox" lockText="1" noThreeD="1"/>
</file>

<file path=xl/ctrlProps/ctrlProp497.xml><?xml version="1.0" encoding="utf-8"?>
<formControlPr xmlns="http://schemas.microsoft.com/office/spreadsheetml/2009/9/main" objectType="CheckBox" lockText="1" noThreeD="1"/>
</file>

<file path=xl/ctrlProps/ctrlProp498.xml><?xml version="1.0" encoding="utf-8"?>
<formControlPr xmlns="http://schemas.microsoft.com/office/spreadsheetml/2009/9/main" objectType="CheckBox" lockText="1" noThreeD="1"/>
</file>

<file path=xl/ctrlProps/ctrlProp499.xml><?xml version="1.0" encoding="utf-8"?>
<formControlPr xmlns="http://schemas.microsoft.com/office/spreadsheetml/2009/9/main" objectType="CheckBox" lockText="1" noThreeD="1"/>
</file>

<file path=xl/ctrlProps/ctrlProp500.xml><?xml version="1.0" encoding="utf-8"?>
<formControlPr xmlns="http://schemas.microsoft.com/office/spreadsheetml/2009/9/main" objectType="CheckBox" lockText="1" noThreeD="1"/>
</file>

<file path=xl/ctrlProps/ctrlProp501.xml><?xml version="1.0" encoding="utf-8"?>
<formControlPr xmlns="http://schemas.microsoft.com/office/spreadsheetml/2009/9/main" objectType="CheckBox" lockText="1" noThreeD="1"/>
</file>

<file path=xl/ctrlProps/ctrlProp502.xml><?xml version="1.0" encoding="utf-8"?>
<formControlPr xmlns="http://schemas.microsoft.com/office/spreadsheetml/2009/9/main" objectType="CheckBox" lockText="1" noThreeD="1"/>
</file>

<file path=xl/ctrlProps/ctrlProp503.xml><?xml version="1.0" encoding="utf-8"?>
<formControlPr xmlns="http://schemas.microsoft.com/office/spreadsheetml/2009/9/main" objectType="CheckBox" lockText="1" noThreeD="1"/>
</file>

<file path=xl/ctrlProps/ctrlProp504.xml><?xml version="1.0" encoding="utf-8"?>
<formControlPr xmlns="http://schemas.microsoft.com/office/spreadsheetml/2009/9/main" objectType="CheckBox" lockText="1" noThreeD="1"/>
</file>

<file path=xl/ctrlProps/ctrlProp505.xml><?xml version="1.0" encoding="utf-8"?>
<formControlPr xmlns="http://schemas.microsoft.com/office/spreadsheetml/2009/9/main" objectType="CheckBox" checked="Checked" lockText="1" noThreeD="1"/>
</file>

<file path=xl/ctrlProps/ctrlProp506.xml><?xml version="1.0" encoding="utf-8"?>
<formControlPr xmlns="http://schemas.microsoft.com/office/spreadsheetml/2009/9/main" objectType="CheckBox" checked="Checked" lockText="1" noThreeD="1"/>
</file>

<file path=xl/ctrlProps/ctrlProp507.xml><?xml version="1.0" encoding="utf-8"?>
<formControlPr xmlns="http://schemas.microsoft.com/office/spreadsheetml/2009/9/main" objectType="CheckBox" lockText="1" noThreeD="1"/>
</file>

<file path=xl/ctrlProps/ctrlProp508.xml><?xml version="1.0" encoding="utf-8"?>
<formControlPr xmlns="http://schemas.microsoft.com/office/spreadsheetml/2009/9/main" objectType="CheckBox" lockText="1" noThreeD="1"/>
</file>

<file path=xl/ctrlProps/ctrlProp509.xml><?xml version="1.0" encoding="utf-8"?>
<formControlPr xmlns="http://schemas.microsoft.com/office/spreadsheetml/2009/9/main" objectType="CheckBox" lockText="1" noThreeD="1"/>
</file>

<file path=xl/ctrlProps/ctrlProp510.xml><?xml version="1.0" encoding="utf-8"?>
<formControlPr xmlns="http://schemas.microsoft.com/office/spreadsheetml/2009/9/main" objectType="CheckBox" lockText="1" noThreeD="1"/>
</file>

<file path=xl/ctrlProps/ctrlProp511.xml><?xml version="1.0" encoding="utf-8"?>
<formControlPr xmlns="http://schemas.microsoft.com/office/spreadsheetml/2009/9/main" objectType="CheckBox" lockText="1" noThreeD="1"/>
</file>

<file path=xl/ctrlProps/ctrlProp512.xml><?xml version="1.0" encoding="utf-8"?>
<formControlPr xmlns="http://schemas.microsoft.com/office/spreadsheetml/2009/9/main" objectType="CheckBox" lockText="1" noThreeD="1"/>
</file>

<file path=xl/ctrlProps/ctrlProp513.xml><?xml version="1.0" encoding="utf-8"?>
<formControlPr xmlns="http://schemas.microsoft.com/office/spreadsheetml/2009/9/main" objectType="CheckBox" lockText="1" noThreeD="1"/>
</file>

<file path=xl/ctrlProps/ctrlProp514.xml><?xml version="1.0" encoding="utf-8"?>
<formControlPr xmlns="http://schemas.microsoft.com/office/spreadsheetml/2009/9/main" objectType="CheckBox" lockText="1" noThreeD="1"/>
</file>

<file path=xl/ctrlProps/ctrlProp515.xml><?xml version="1.0" encoding="utf-8"?>
<formControlPr xmlns="http://schemas.microsoft.com/office/spreadsheetml/2009/9/main" objectType="CheckBox" lockText="1" noThreeD="1"/>
</file>

<file path=xl/ctrlProps/ctrlProp516.xml><?xml version="1.0" encoding="utf-8"?>
<formControlPr xmlns="http://schemas.microsoft.com/office/spreadsheetml/2009/9/main" objectType="CheckBox" lockText="1" noThreeD="1"/>
</file>

<file path=xl/ctrlProps/ctrlProp517.xml><?xml version="1.0" encoding="utf-8"?>
<formControlPr xmlns="http://schemas.microsoft.com/office/spreadsheetml/2009/9/main" objectType="CheckBox" lockText="1" noThreeD="1"/>
</file>

<file path=xl/ctrlProps/ctrlProp518.xml><?xml version="1.0" encoding="utf-8"?>
<formControlPr xmlns="http://schemas.microsoft.com/office/spreadsheetml/2009/9/main" objectType="CheckBox" lockText="1" noThreeD="1"/>
</file>

<file path=xl/ctrlProps/ctrlProp519.xml><?xml version="1.0" encoding="utf-8"?>
<formControlPr xmlns="http://schemas.microsoft.com/office/spreadsheetml/2009/9/main" objectType="CheckBox" lockText="1" noThreeD="1"/>
</file>

<file path=xl/ctrlProps/ctrlProp520.xml><?xml version="1.0" encoding="utf-8"?>
<formControlPr xmlns="http://schemas.microsoft.com/office/spreadsheetml/2009/9/main" objectType="CheckBox" lockText="1" noThreeD="1"/>
</file>

<file path=xl/ctrlProps/ctrlProp521.xml><?xml version="1.0" encoding="utf-8"?>
<formControlPr xmlns="http://schemas.microsoft.com/office/spreadsheetml/2009/9/main" objectType="CheckBox" lockText="1" noThreeD="1"/>
</file>

<file path=xl/ctrlProps/ctrlProp522.xml><?xml version="1.0" encoding="utf-8"?>
<formControlPr xmlns="http://schemas.microsoft.com/office/spreadsheetml/2009/9/main" objectType="CheckBox" lockText="1" noThreeD="1"/>
</file>

<file path=xl/ctrlProps/ctrlProp523.xml><?xml version="1.0" encoding="utf-8"?>
<formControlPr xmlns="http://schemas.microsoft.com/office/spreadsheetml/2009/9/main" objectType="CheckBox" lockText="1" noThreeD="1"/>
</file>

<file path=xl/ctrlProps/ctrlProp524.xml><?xml version="1.0" encoding="utf-8"?>
<formControlPr xmlns="http://schemas.microsoft.com/office/spreadsheetml/2009/9/main" objectType="CheckBox" lockText="1" noThreeD="1"/>
</file>

<file path=xl/ctrlProps/ctrlProp525.xml><?xml version="1.0" encoding="utf-8"?>
<formControlPr xmlns="http://schemas.microsoft.com/office/spreadsheetml/2009/9/main" objectType="CheckBox" lockText="1" noThreeD="1"/>
</file>

<file path=xl/ctrlProps/ctrlProp526.xml><?xml version="1.0" encoding="utf-8"?>
<formControlPr xmlns="http://schemas.microsoft.com/office/spreadsheetml/2009/9/main" objectType="CheckBox" lockText="1" noThreeD="1"/>
</file>

<file path=xl/ctrlProps/ctrlProp527.xml><?xml version="1.0" encoding="utf-8"?>
<formControlPr xmlns="http://schemas.microsoft.com/office/spreadsheetml/2009/9/main" objectType="CheckBox" lockText="1" noThreeD="1"/>
</file>

<file path=xl/ctrlProps/ctrlProp528.xml><?xml version="1.0" encoding="utf-8"?>
<formControlPr xmlns="http://schemas.microsoft.com/office/spreadsheetml/2009/9/main" objectType="CheckBox" lockText="1" noThreeD="1"/>
</file>

<file path=xl/ctrlProps/ctrlProp529.xml><?xml version="1.0" encoding="utf-8"?>
<formControlPr xmlns="http://schemas.microsoft.com/office/spreadsheetml/2009/9/main" objectType="CheckBox" checked="Checked" lockText="1" noThreeD="1"/>
</file>

<file path=xl/ctrlProps/ctrlProp530.xml><?xml version="1.0" encoding="utf-8"?>
<formControlPr xmlns="http://schemas.microsoft.com/office/spreadsheetml/2009/9/main" objectType="CheckBox" lockText="1" noThreeD="1"/>
</file>

<file path=xl/ctrlProps/ctrlProp531.xml><?xml version="1.0" encoding="utf-8"?>
<formControlPr xmlns="http://schemas.microsoft.com/office/spreadsheetml/2009/9/main" objectType="CheckBox" lockText="1" noThreeD="1"/>
</file>

<file path=xl/ctrlProps/ctrlProp532.xml><?xml version="1.0" encoding="utf-8"?>
<formControlPr xmlns="http://schemas.microsoft.com/office/spreadsheetml/2009/9/main" objectType="CheckBox" checked="Checked" lockText="1" noThreeD="1"/>
</file>

<file path=xl/ctrlProps/ctrlProp533.xml><?xml version="1.0" encoding="utf-8"?>
<formControlPr xmlns="http://schemas.microsoft.com/office/spreadsheetml/2009/9/main" objectType="CheckBox" checked="Checked" lockText="1" noThreeD="1"/>
</file>

<file path=xl/ctrlProps/ctrlProp534.xml><?xml version="1.0" encoding="utf-8"?>
<formControlPr xmlns="http://schemas.microsoft.com/office/spreadsheetml/2009/9/main" objectType="CheckBox" checked="Checked" lockText="1" noThreeD="1"/>
</file>

<file path=xl/ctrlProps/ctrlProp535.xml><?xml version="1.0" encoding="utf-8"?>
<formControlPr xmlns="http://schemas.microsoft.com/office/spreadsheetml/2009/9/main" objectType="CheckBox" lockText="1" noThreeD="1"/>
</file>

<file path=xl/ctrlProps/ctrlProp536.xml><?xml version="1.0" encoding="utf-8"?>
<formControlPr xmlns="http://schemas.microsoft.com/office/spreadsheetml/2009/9/main" objectType="CheckBox" lockText="1" noThreeD="1"/>
</file>

<file path=xl/ctrlProps/ctrlProp537.xml><?xml version="1.0" encoding="utf-8"?>
<formControlPr xmlns="http://schemas.microsoft.com/office/spreadsheetml/2009/9/main" objectType="CheckBox" checked="Checked" lockText="1" noThreeD="1"/>
</file>

<file path=xl/ctrlProps/ctrlProp538.xml><?xml version="1.0" encoding="utf-8"?>
<formControlPr xmlns="http://schemas.microsoft.com/office/spreadsheetml/2009/9/main" objectType="CheckBox" checked="Checked" lockText="1" noThreeD="1"/>
</file>

<file path=xl/ctrlProps/ctrlProp539.xml><?xml version="1.0" encoding="utf-8"?>
<formControlPr xmlns="http://schemas.microsoft.com/office/spreadsheetml/2009/9/main" objectType="CheckBox" lockText="1" noThreeD="1"/>
</file>

<file path=xl/ctrlProps/ctrlProp540.xml><?xml version="1.0" encoding="utf-8"?>
<formControlPr xmlns="http://schemas.microsoft.com/office/spreadsheetml/2009/9/main" objectType="CheckBox" lockText="1" noThreeD="1"/>
</file>

<file path=xl/ctrlProps/ctrlProp541.xml><?xml version="1.0" encoding="utf-8"?>
<formControlPr xmlns="http://schemas.microsoft.com/office/spreadsheetml/2009/9/main" objectType="CheckBox" lockText="1" noThreeD="1"/>
</file>

<file path=xl/ctrlProps/ctrlProp542.xml><?xml version="1.0" encoding="utf-8"?>
<formControlPr xmlns="http://schemas.microsoft.com/office/spreadsheetml/2009/9/main" objectType="CheckBox" lockText="1" noThreeD="1"/>
</file>

<file path=xl/ctrlProps/ctrlProp543.xml><?xml version="1.0" encoding="utf-8"?>
<formControlPr xmlns="http://schemas.microsoft.com/office/spreadsheetml/2009/9/main" objectType="CheckBox" checked="Checked" lockText="1" noThreeD="1"/>
</file>

<file path=xl/ctrlProps/ctrlProp544.xml><?xml version="1.0" encoding="utf-8"?>
<formControlPr xmlns="http://schemas.microsoft.com/office/spreadsheetml/2009/9/main" objectType="CheckBox" lockText="1" noThreeD="1"/>
</file>

<file path=xl/ctrlProps/ctrlProp545.xml><?xml version="1.0" encoding="utf-8"?>
<formControlPr xmlns="http://schemas.microsoft.com/office/spreadsheetml/2009/9/main" objectType="CheckBox" lockText="1" noThreeD="1"/>
</file>

<file path=xl/ctrlProps/ctrlProp546.xml><?xml version="1.0" encoding="utf-8"?>
<formControlPr xmlns="http://schemas.microsoft.com/office/spreadsheetml/2009/9/main" objectType="CheckBox" lockText="1" noThreeD="1"/>
</file>

<file path=xl/ctrlProps/ctrlProp547.xml><?xml version="1.0" encoding="utf-8"?>
<formControlPr xmlns="http://schemas.microsoft.com/office/spreadsheetml/2009/9/main" objectType="CheckBox" lockText="1" noThreeD="1"/>
</file>

<file path=xl/ctrlProps/ctrlProp548.xml><?xml version="1.0" encoding="utf-8"?>
<formControlPr xmlns="http://schemas.microsoft.com/office/spreadsheetml/2009/9/main" objectType="CheckBox" lockText="1" noThreeD="1"/>
</file>

<file path=xl/ctrlProps/ctrlProp549.xml><?xml version="1.0" encoding="utf-8"?>
<formControlPr xmlns="http://schemas.microsoft.com/office/spreadsheetml/2009/9/main" objectType="CheckBox" lockText="1" noThreeD="1"/>
</file>

<file path=xl/ctrlProps/ctrlProp550.xml><?xml version="1.0" encoding="utf-8"?>
<formControlPr xmlns="http://schemas.microsoft.com/office/spreadsheetml/2009/9/main" objectType="CheckBox" lockText="1" noThreeD="1"/>
</file>

<file path=xl/ctrlProps/ctrlProp551.xml><?xml version="1.0" encoding="utf-8"?>
<formControlPr xmlns="http://schemas.microsoft.com/office/spreadsheetml/2009/9/main" objectType="CheckBox" lockText="1" noThreeD="1"/>
</file>

<file path=xl/ctrlProps/ctrlProp552.xml><?xml version="1.0" encoding="utf-8"?>
<formControlPr xmlns="http://schemas.microsoft.com/office/spreadsheetml/2009/9/main" objectType="CheckBox" lockText="1" noThreeD="1"/>
</file>

<file path=xl/ctrlProps/ctrlProp553.xml><?xml version="1.0" encoding="utf-8"?>
<formControlPr xmlns="http://schemas.microsoft.com/office/spreadsheetml/2009/9/main" objectType="CheckBox" lockText="1" noThreeD="1"/>
</file>

<file path=xl/ctrlProps/ctrlProp554.xml><?xml version="1.0" encoding="utf-8"?>
<formControlPr xmlns="http://schemas.microsoft.com/office/spreadsheetml/2009/9/main" objectType="CheckBox" checked="Checked" lockText="1" noThreeD="1"/>
</file>

<file path=xl/ctrlProps/ctrlProp555.xml><?xml version="1.0" encoding="utf-8"?>
<formControlPr xmlns="http://schemas.microsoft.com/office/spreadsheetml/2009/9/main" objectType="CheckBox" lockText="1" noThreeD="1"/>
</file>

<file path=xl/ctrlProps/ctrlProp556.xml><?xml version="1.0" encoding="utf-8"?>
<formControlPr xmlns="http://schemas.microsoft.com/office/spreadsheetml/2009/9/main" objectType="CheckBox" lockText="1" noThreeD="1"/>
</file>

<file path=xl/ctrlProps/ctrlProp557.xml><?xml version="1.0" encoding="utf-8"?>
<formControlPr xmlns="http://schemas.microsoft.com/office/spreadsheetml/2009/9/main" objectType="CheckBox" lockText="1" noThreeD="1"/>
</file>

<file path=xl/ctrlProps/ctrlProp558.xml><?xml version="1.0" encoding="utf-8"?>
<formControlPr xmlns="http://schemas.microsoft.com/office/spreadsheetml/2009/9/main" objectType="CheckBox" lockText="1" noThreeD="1"/>
</file>

<file path=xl/ctrlProps/ctrlProp559.xml><?xml version="1.0" encoding="utf-8"?>
<formControlPr xmlns="http://schemas.microsoft.com/office/spreadsheetml/2009/9/main" objectType="CheckBox" lockText="1" noThreeD="1"/>
</file>

<file path=xl/ctrlProps/ctrlProp560.xml><?xml version="1.0" encoding="utf-8"?>
<formControlPr xmlns="http://schemas.microsoft.com/office/spreadsheetml/2009/9/main" objectType="CheckBox" checked="Checked" lockText="1" noThreeD="1"/>
</file>

<file path=xl/ctrlProps/ctrlProp561.xml><?xml version="1.0" encoding="utf-8"?>
<formControlPr xmlns="http://schemas.microsoft.com/office/spreadsheetml/2009/9/main" objectType="CheckBox" lockText="1" noThreeD="1"/>
</file>

<file path=xl/ctrlProps/ctrlProp562.xml><?xml version="1.0" encoding="utf-8"?>
<formControlPr xmlns="http://schemas.microsoft.com/office/spreadsheetml/2009/9/main" objectType="CheckBox" lockText="1" noThreeD="1"/>
</file>

<file path=xl/ctrlProps/ctrlProp563.xml><?xml version="1.0" encoding="utf-8"?>
<formControlPr xmlns="http://schemas.microsoft.com/office/spreadsheetml/2009/9/main" objectType="CheckBox" lockText="1" noThreeD="1"/>
</file>

<file path=xl/ctrlProps/ctrlProp564.xml><?xml version="1.0" encoding="utf-8"?>
<formControlPr xmlns="http://schemas.microsoft.com/office/spreadsheetml/2009/9/main" objectType="CheckBox" lockText="1" noThreeD="1"/>
</file>

<file path=xl/ctrlProps/ctrlProp565.xml><?xml version="1.0" encoding="utf-8"?>
<formControlPr xmlns="http://schemas.microsoft.com/office/spreadsheetml/2009/9/main" objectType="CheckBox" lockText="1" noThreeD="1"/>
</file>

<file path=xl/ctrlProps/ctrlProp566.xml><?xml version="1.0" encoding="utf-8"?>
<formControlPr xmlns="http://schemas.microsoft.com/office/spreadsheetml/2009/9/main" objectType="CheckBox" checked="Checked" lockText="1" noThreeD="1"/>
</file>

<file path=xl/ctrlProps/ctrlProp567.xml><?xml version="1.0" encoding="utf-8"?>
<formControlPr xmlns="http://schemas.microsoft.com/office/spreadsheetml/2009/9/main" objectType="CheckBox" lockText="1" noThreeD="1"/>
</file>

<file path=xl/ctrlProps/ctrlProp568.xml><?xml version="1.0" encoding="utf-8"?>
<formControlPr xmlns="http://schemas.microsoft.com/office/spreadsheetml/2009/9/main" objectType="CheckBox" lockText="1" noThreeD="1"/>
</file>

<file path=xl/ctrlProps/ctrlProp569.xml><?xml version="1.0" encoding="utf-8"?>
<formControlPr xmlns="http://schemas.microsoft.com/office/spreadsheetml/2009/9/main" objectType="CheckBox" lockText="1" noThreeD="1"/>
</file>

<file path=xl/ctrlProps/ctrlProp570.xml><?xml version="1.0" encoding="utf-8"?>
<formControlPr xmlns="http://schemas.microsoft.com/office/spreadsheetml/2009/9/main" objectType="CheckBox" lockText="1" noThreeD="1"/>
</file>

<file path=xl/ctrlProps/ctrlProp571.xml><?xml version="1.0" encoding="utf-8"?>
<formControlPr xmlns="http://schemas.microsoft.com/office/spreadsheetml/2009/9/main" objectType="CheckBox" lockText="1" noThreeD="1"/>
</file>

<file path=xl/ctrlProps/ctrlProp572.xml><?xml version="1.0" encoding="utf-8"?>
<formControlPr xmlns="http://schemas.microsoft.com/office/spreadsheetml/2009/9/main" objectType="CheckBox" checked="Checked" lockText="1" noThreeD="1"/>
</file>

<file path=xl/ctrlProps/ctrlProp573.xml><?xml version="1.0" encoding="utf-8"?>
<formControlPr xmlns="http://schemas.microsoft.com/office/spreadsheetml/2009/9/main" objectType="CheckBox" lockText="1" noThreeD="1"/>
</file>

<file path=xl/ctrlProps/ctrlProp574.xml><?xml version="1.0" encoding="utf-8"?>
<formControlPr xmlns="http://schemas.microsoft.com/office/spreadsheetml/2009/9/main" objectType="CheckBox" lockText="1" noThreeD="1"/>
</file>

<file path=xl/ctrlProps/ctrlProp575.xml><?xml version="1.0" encoding="utf-8"?>
<formControlPr xmlns="http://schemas.microsoft.com/office/spreadsheetml/2009/9/main" objectType="CheckBox" lockText="1" noThreeD="1"/>
</file>

<file path=xl/ctrlProps/ctrlProp576.xml><?xml version="1.0" encoding="utf-8"?>
<formControlPr xmlns="http://schemas.microsoft.com/office/spreadsheetml/2009/9/main" objectType="CheckBox" lockText="1" noThreeD="1"/>
</file>

<file path=xl/ctrlProps/ctrlProp577.xml><?xml version="1.0" encoding="utf-8"?>
<formControlPr xmlns="http://schemas.microsoft.com/office/spreadsheetml/2009/9/main" objectType="CheckBox" lockText="1" noThreeD="1"/>
</file>

<file path=xl/ctrlProps/ctrlProp578.xml><?xml version="1.0" encoding="utf-8"?>
<formControlPr xmlns="http://schemas.microsoft.com/office/spreadsheetml/2009/9/main" objectType="CheckBox" checked="Checked" lockText="1" noThreeD="1"/>
</file>

<file path=xl/ctrlProps/ctrlProp579.xml><?xml version="1.0" encoding="utf-8"?>
<formControlPr xmlns="http://schemas.microsoft.com/office/spreadsheetml/2009/9/main" objectType="CheckBox" lockText="1" noThreeD="1"/>
</file>

<file path=xl/ctrlProps/ctrlProp580.xml><?xml version="1.0" encoding="utf-8"?>
<formControlPr xmlns="http://schemas.microsoft.com/office/spreadsheetml/2009/9/main" objectType="CheckBox" lockText="1" noThreeD="1"/>
</file>

<file path=xl/ctrlProps/ctrlProp581.xml><?xml version="1.0" encoding="utf-8"?>
<formControlPr xmlns="http://schemas.microsoft.com/office/spreadsheetml/2009/9/main" objectType="CheckBox" lockText="1" noThreeD="1"/>
</file>

<file path=xl/ctrlProps/ctrlProp582.xml><?xml version="1.0" encoding="utf-8"?>
<formControlPr xmlns="http://schemas.microsoft.com/office/spreadsheetml/2009/9/main" objectType="CheckBox" lockText="1" noThreeD="1"/>
</file>

<file path=xl/ctrlProps/ctrlProp583.xml><?xml version="1.0" encoding="utf-8"?>
<formControlPr xmlns="http://schemas.microsoft.com/office/spreadsheetml/2009/9/main" objectType="CheckBox" lockText="1" noThreeD="1"/>
</file>

<file path=xl/ctrlProps/ctrlProp584.xml><?xml version="1.0" encoding="utf-8"?>
<formControlPr xmlns="http://schemas.microsoft.com/office/spreadsheetml/2009/9/main" objectType="CheckBox" lockText="1" noThreeD="1"/>
</file>

<file path=xl/ctrlProps/ctrlProp585.xml><?xml version="1.0" encoding="utf-8"?>
<formControlPr xmlns="http://schemas.microsoft.com/office/spreadsheetml/2009/9/main" objectType="CheckBox" lockText="1" noThreeD="1"/>
</file>

<file path=xl/ctrlProps/ctrlProp586.xml><?xml version="1.0" encoding="utf-8"?>
<formControlPr xmlns="http://schemas.microsoft.com/office/spreadsheetml/2009/9/main" objectType="CheckBox" lockText="1" noThreeD="1"/>
</file>

<file path=xl/ctrlProps/ctrlProp587.xml><?xml version="1.0" encoding="utf-8"?>
<formControlPr xmlns="http://schemas.microsoft.com/office/spreadsheetml/2009/9/main" objectType="CheckBox" lockText="1" noThreeD="1"/>
</file>

<file path=xl/ctrlProps/ctrlProp588.xml><?xml version="1.0" encoding="utf-8"?>
<formControlPr xmlns="http://schemas.microsoft.com/office/spreadsheetml/2009/9/main" objectType="CheckBox" lockText="1" noThreeD="1"/>
</file>

<file path=xl/ctrlProps/ctrlProp589.xml><?xml version="1.0" encoding="utf-8"?>
<formControlPr xmlns="http://schemas.microsoft.com/office/spreadsheetml/2009/9/main" objectType="CheckBox" lockText="1" noThreeD="1"/>
</file>

<file path=xl/ctrlProps/ctrlProp590.xml><?xml version="1.0" encoding="utf-8"?>
<formControlPr xmlns="http://schemas.microsoft.com/office/spreadsheetml/2009/9/main" objectType="CheckBox" lockText="1" noThreeD="1"/>
</file>

<file path=xl/ctrlProps/ctrlProp591.xml><?xml version="1.0" encoding="utf-8"?>
<formControlPr xmlns="http://schemas.microsoft.com/office/spreadsheetml/2009/9/main" objectType="CheckBox" lockText="1" noThreeD="1"/>
</file>

<file path=xl/ctrlProps/ctrlProp592.xml><?xml version="1.0" encoding="utf-8"?>
<formControlPr xmlns="http://schemas.microsoft.com/office/spreadsheetml/2009/9/main" objectType="CheckBox" lockText="1" noThreeD="1"/>
</file>

<file path=xl/ctrlProps/ctrlProp593.xml><?xml version="1.0" encoding="utf-8"?>
<formControlPr xmlns="http://schemas.microsoft.com/office/spreadsheetml/2009/9/main" objectType="CheckBox" lockText="1" noThreeD="1"/>
</file>

<file path=xl/ctrlProps/ctrlProp594.xml><?xml version="1.0" encoding="utf-8"?>
<formControlPr xmlns="http://schemas.microsoft.com/office/spreadsheetml/2009/9/main" objectType="CheckBox" lockText="1" noThreeD="1"/>
</file>

<file path=xl/ctrlProps/ctrlProp595.xml><?xml version="1.0" encoding="utf-8"?>
<formControlPr xmlns="http://schemas.microsoft.com/office/spreadsheetml/2009/9/main" objectType="CheckBox" lockText="1" noThreeD="1"/>
</file>

<file path=xl/ctrlProps/ctrlProp596.xml><?xml version="1.0" encoding="utf-8"?>
<formControlPr xmlns="http://schemas.microsoft.com/office/spreadsheetml/2009/9/main" objectType="CheckBox" lockText="1" noThreeD="1"/>
</file>

<file path=xl/ctrlProps/ctrlProp597.xml><?xml version="1.0" encoding="utf-8"?>
<formControlPr xmlns="http://schemas.microsoft.com/office/spreadsheetml/2009/9/main" objectType="CheckBox" lockText="1" noThreeD="1"/>
</file>

<file path=xl/ctrlProps/ctrlProp598.xml><?xml version="1.0" encoding="utf-8"?>
<formControlPr xmlns="http://schemas.microsoft.com/office/spreadsheetml/2009/9/main" objectType="CheckBox" lockText="1" noThreeD="1"/>
</file>

<file path=xl/ctrlProps/ctrlProp599.xml><?xml version="1.0" encoding="utf-8"?>
<formControlPr xmlns="http://schemas.microsoft.com/office/spreadsheetml/2009/9/main" objectType="CheckBox" lockText="1" noThreeD="1"/>
</file>

<file path=xl/ctrlProps/ctrlProp600.xml><?xml version="1.0" encoding="utf-8"?>
<formControlPr xmlns="http://schemas.microsoft.com/office/spreadsheetml/2009/9/main" objectType="CheckBox" lockText="1" noThreeD="1"/>
</file>

<file path=xl/ctrlProps/ctrlProp601.xml><?xml version="1.0" encoding="utf-8"?>
<formControlPr xmlns="http://schemas.microsoft.com/office/spreadsheetml/2009/9/main" objectType="CheckBox" lockText="1" noThreeD="1"/>
</file>

<file path=xl/ctrlProps/ctrlProp602.xml><?xml version="1.0" encoding="utf-8"?>
<formControlPr xmlns="http://schemas.microsoft.com/office/spreadsheetml/2009/9/main" objectType="CheckBox" lockText="1" noThreeD="1"/>
</file>

<file path=xl/ctrlProps/ctrlProp603.xml><?xml version="1.0" encoding="utf-8"?>
<formControlPr xmlns="http://schemas.microsoft.com/office/spreadsheetml/2009/9/main" objectType="CheckBox" lockText="1" noThreeD="1"/>
</file>

<file path=xl/ctrlProps/ctrlProp604.xml><?xml version="1.0" encoding="utf-8"?>
<formControlPr xmlns="http://schemas.microsoft.com/office/spreadsheetml/2009/9/main" objectType="CheckBox" lockText="1" noThreeD="1"/>
</file>

<file path=xl/ctrlProps/ctrlProp605.xml><?xml version="1.0" encoding="utf-8"?>
<formControlPr xmlns="http://schemas.microsoft.com/office/spreadsheetml/2009/9/main" objectType="CheckBox" lockText="1" noThreeD="1"/>
</file>

<file path=xl/ctrlProps/ctrlProp606.xml><?xml version="1.0" encoding="utf-8"?>
<formControlPr xmlns="http://schemas.microsoft.com/office/spreadsheetml/2009/9/main" objectType="CheckBox" lockText="1" noThreeD="1"/>
</file>

<file path=xl/ctrlProps/ctrlProp607.xml><?xml version="1.0" encoding="utf-8"?>
<formControlPr xmlns="http://schemas.microsoft.com/office/spreadsheetml/2009/9/main" objectType="CheckBox" lockText="1" noThreeD="1"/>
</file>

<file path=xl/ctrlProps/ctrlProp608.xml><?xml version="1.0" encoding="utf-8"?>
<formControlPr xmlns="http://schemas.microsoft.com/office/spreadsheetml/2009/9/main" objectType="CheckBox" lockText="1" noThreeD="1"/>
</file>

<file path=xl/ctrlProps/ctrlProp609.xml><?xml version="1.0" encoding="utf-8"?>
<formControlPr xmlns="http://schemas.microsoft.com/office/spreadsheetml/2009/9/main" objectType="CheckBox" lockText="1" noThreeD="1"/>
</file>

<file path=xl/ctrlProps/ctrlProp610.xml><?xml version="1.0" encoding="utf-8"?>
<formControlPr xmlns="http://schemas.microsoft.com/office/spreadsheetml/2009/9/main" objectType="CheckBox" lockText="1" noThreeD="1"/>
</file>

<file path=xl/ctrlProps/ctrlProp611.xml><?xml version="1.0" encoding="utf-8"?>
<formControlPr xmlns="http://schemas.microsoft.com/office/spreadsheetml/2009/9/main" objectType="CheckBox" checked="Checked" lockText="1" noThreeD="1"/>
</file>

<file path=xl/ctrlProps/ctrlProp612.xml><?xml version="1.0" encoding="utf-8"?>
<formControlPr xmlns="http://schemas.microsoft.com/office/spreadsheetml/2009/9/main" objectType="CheckBox" lockText="1" noThreeD="1"/>
</file>

<file path=xl/ctrlProps/ctrlProp613.xml><?xml version="1.0" encoding="utf-8"?>
<formControlPr xmlns="http://schemas.microsoft.com/office/spreadsheetml/2009/9/main" objectType="CheckBox" lockText="1" noThreeD="1"/>
</file>

<file path=xl/ctrlProps/ctrlProp614.xml><?xml version="1.0" encoding="utf-8"?>
<formControlPr xmlns="http://schemas.microsoft.com/office/spreadsheetml/2009/9/main" objectType="CheckBox" lockText="1" noThreeD="1"/>
</file>

<file path=xl/ctrlProps/ctrlProp615.xml><?xml version="1.0" encoding="utf-8"?>
<formControlPr xmlns="http://schemas.microsoft.com/office/spreadsheetml/2009/9/main" objectType="CheckBox" lockText="1" noThreeD="1"/>
</file>

<file path=xl/ctrlProps/ctrlProp616.xml><?xml version="1.0" encoding="utf-8"?>
<formControlPr xmlns="http://schemas.microsoft.com/office/spreadsheetml/2009/9/main" objectType="CheckBox" lockText="1" noThreeD="1"/>
</file>

<file path=xl/ctrlProps/ctrlProp617.xml><?xml version="1.0" encoding="utf-8"?>
<formControlPr xmlns="http://schemas.microsoft.com/office/spreadsheetml/2009/9/main" objectType="CheckBox" lockText="1" noThreeD="1"/>
</file>

<file path=xl/ctrlProps/ctrlProp618.xml><?xml version="1.0" encoding="utf-8"?>
<formControlPr xmlns="http://schemas.microsoft.com/office/spreadsheetml/2009/9/main" objectType="CheckBox" lockText="1" noThreeD="1"/>
</file>

<file path=xl/ctrlProps/ctrlProp619.xml><?xml version="1.0" encoding="utf-8"?>
<formControlPr xmlns="http://schemas.microsoft.com/office/spreadsheetml/2009/9/main" objectType="CheckBox" lockText="1" noThreeD="1"/>
</file>

<file path=xl/ctrlProps/ctrlProp620.xml><?xml version="1.0" encoding="utf-8"?>
<formControlPr xmlns="http://schemas.microsoft.com/office/spreadsheetml/2009/9/main" objectType="CheckBox" lockText="1" noThreeD="1"/>
</file>

<file path=xl/ctrlProps/ctrlProp621.xml><?xml version="1.0" encoding="utf-8"?>
<formControlPr xmlns="http://schemas.microsoft.com/office/spreadsheetml/2009/9/main" objectType="CheckBox" lockText="1" noThreeD="1"/>
</file>

<file path=xl/ctrlProps/ctrlProp622.xml><?xml version="1.0" encoding="utf-8"?>
<formControlPr xmlns="http://schemas.microsoft.com/office/spreadsheetml/2009/9/main" objectType="CheckBox" lockText="1" noThreeD="1"/>
</file>

<file path=xl/ctrlProps/ctrlProp623.xml><?xml version="1.0" encoding="utf-8"?>
<formControlPr xmlns="http://schemas.microsoft.com/office/spreadsheetml/2009/9/main" objectType="CheckBox" lockText="1" noThreeD="1"/>
</file>

<file path=xl/ctrlProps/ctrlProp624.xml><?xml version="1.0" encoding="utf-8"?>
<formControlPr xmlns="http://schemas.microsoft.com/office/spreadsheetml/2009/9/main" objectType="CheckBox" lockText="1" noThreeD="1"/>
</file>

<file path=xl/ctrlProps/ctrlProp625.xml><?xml version="1.0" encoding="utf-8"?>
<formControlPr xmlns="http://schemas.microsoft.com/office/spreadsheetml/2009/9/main" objectType="CheckBox" lockText="1" noThreeD="1"/>
</file>

<file path=xl/ctrlProps/ctrlProp626.xml><?xml version="1.0" encoding="utf-8"?>
<formControlPr xmlns="http://schemas.microsoft.com/office/spreadsheetml/2009/9/main" objectType="CheckBox" lockText="1" noThreeD="1"/>
</file>

<file path=xl/ctrlProps/ctrlProp627.xml><?xml version="1.0" encoding="utf-8"?>
<formControlPr xmlns="http://schemas.microsoft.com/office/spreadsheetml/2009/9/main" objectType="CheckBox" lockText="1" noThreeD="1"/>
</file>

<file path=xl/ctrlProps/ctrlProp628.xml><?xml version="1.0" encoding="utf-8"?>
<formControlPr xmlns="http://schemas.microsoft.com/office/spreadsheetml/2009/9/main" objectType="CheckBox" lockText="1" noThreeD="1"/>
</file>

<file path=xl/ctrlProps/ctrlProp629.xml><?xml version="1.0" encoding="utf-8"?>
<formControlPr xmlns="http://schemas.microsoft.com/office/spreadsheetml/2009/9/main" objectType="CheckBox" lockText="1" noThreeD="1"/>
</file>

<file path=xl/ctrlProps/ctrlProp630.xml><?xml version="1.0" encoding="utf-8"?>
<formControlPr xmlns="http://schemas.microsoft.com/office/spreadsheetml/2009/9/main" objectType="CheckBox" lockText="1" noThreeD="1"/>
</file>

<file path=xl/ctrlProps/ctrlProp631.xml><?xml version="1.0" encoding="utf-8"?>
<formControlPr xmlns="http://schemas.microsoft.com/office/spreadsheetml/2009/9/main" objectType="CheckBox" lockText="1" noThreeD="1"/>
</file>

<file path=xl/ctrlProps/ctrlProp632.xml><?xml version="1.0" encoding="utf-8"?>
<formControlPr xmlns="http://schemas.microsoft.com/office/spreadsheetml/2009/9/main" objectType="CheckBox" checked="Checked" lockText="1" noThreeD="1"/>
</file>

<file path=xl/ctrlProps/ctrlProp633.xml><?xml version="1.0" encoding="utf-8"?>
<formControlPr xmlns="http://schemas.microsoft.com/office/spreadsheetml/2009/9/main" objectType="CheckBox" lockText="1" noThreeD="1"/>
</file>

<file path=xl/ctrlProps/ctrlProp634.xml><?xml version="1.0" encoding="utf-8"?>
<formControlPr xmlns="http://schemas.microsoft.com/office/spreadsheetml/2009/9/main" objectType="CheckBox" checked="Checked" lockText="1" noThreeD="1"/>
</file>

<file path=xl/ctrlProps/ctrlProp635.xml><?xml version="1.0" encoding="utf-8"?>
<formControlPr xmlns="http://schemas.microsoft.com/office/spreadsheetml/2009/9/main" objectType="CheckBox" checked="Checked" lockText="1" noThreeD="1"/>
</file>

<file path=xl/ctrlProps/ctrlProp636.xml><?xml version="1.0" encoding="utf-8"?>
<formControlPr xmlns="http://schemas.microsoft.com/office/spreadsheetml/2009/9/main" objectType="CheckBox" lockText="1" noThreeD="1"/>
</file>

<file path=xl/ctrlProps/ctrlProp637.xml><?xml version="1.0" encoding="utf-8"?>
<formControlPr xmlns="http://schemas.microsoft.com/office/spreadsheetml/2009/9/main" objectType="CheckBox" lockText="1" noThreeD="1"/>
</file>

<file path=xl/ctrlProps/ctrlProp638.xml><?xml version="1.0" encoding="utf-8"?>
<formControlPr xmlns="http://schemas.microsoft.com/office/spreadsheetml/2009/9/main" objectType="CheckBox" lockText="1" noThreeD="1"/>
</file>

<file path=xl/ctrlProps/ctrlProp639.xml><?xml version="1.0" encoding="utf-8"?>
<formControlPr xmlns="http://schemas.microsoft.com/office/spreadsheetml/2009/9/main" objectType="CheckBox" lockText="1" noThreeD="1"/>
</file>

<file path=xl/ctrlProps/ctrlProp640.xml><?xml version="1.0" encoding="utf-8"?>
<formControlPr xmlns="http://schemas.microsoft.com/office/spreadsheetml/2009/9/main" objectType="CheckBox" lockText="1" noThreeD="1"/>
</file>

<file path=xl/ctrlProps/ctrlProp641.xml><?xml version="1.0" encoding="utf-8"?>
<formControlPr xmlns="http://schemas.microsoft.com/office/spreadsheetml/2009/9/main" objectType="CheckBox" lockText="1" noThreeD="1"/>
</file>

<file path=xl/ctrlProps/ctrlProp642.xml><?xml version="1.0" encoding="utf-8"?>
<formControlPr xmlns="http://schemas.microsoft.com/office/spreadsheetml/2009/9/main" objectType="CheckBox" lockText="1" noThreeD="1"/>
</file>

<file path=xl/ctrlProps/ctrlProp643.xml><?xml version="1.0" encoding="utf-8"?>
<formControlPr xmlns="http://schemas.microsoft.com/office/spreadsheetml/2009/9/main" objectType="CheckBox" lockText="1" noThreeD="1"/>
</file>

<file path=xl/ctrlProps/ctrlProp644.xml><?xml version="1.0" encoding="utf-8"?>
<formControlPr xmlns="http://schemas.microsoft.com/office/spreadsheetml/2009/9/main" objectType="CheckBox" lockText="1" noThreeD="1"/>
</file>

<file path=xl/ctrlProps/ctrlProp645.xml><?xml version="1.0" encoding="utf-8"?>
<formControlPr xmlns="http://schemas.microsoft.com/office/spreadsheetml/2009/9/main" objectType="CheckBox" lockText="1" noThreeD="1"/>
</file>

<file path=xl/ctrlProps/ctrlProp646.xml><?xml version="1.0" encoding="utf-8"?>
<formControlPr xmlns="http://schemas.microsoft.com/office/spreadsheetml/2009/9/main" objectType="CheckBox" lockText="1" noThreeD="1"/>
</file>

<file path=xl/ctrlProps/ctrlProp647.xml><?xml version="1.0" encoding="utf-8"?>
<formControlPr xmlns="http://schemas.microsoft.com/office/spreadsheetml/2009/9/main" objectType="CheckBox" lockText="1" noThreeD="1"/>
</file>

<file path=xl/ctrlProps/ctrlProp648.xml><?xml version="1.0" encoding="utf-8"?>
<formControlPr xmlns="http://schemas.microsoft.com/office/spreadsheetml/2009/9/main" objectType="CheckBox" lockText="1" noThreeD="1"/>
</file>

<file path=xl/ctrlProps/ctrlProp649.xml><?xml version="1.0" encoding="utf-8"?>
<formControlPr xmlns="http://schemas.microsoft.com/office/spreadsheetml/2009/9/main" objectType="CheckBox" lockText="1" noThreeD="1"/>
</file>

<file path=xl/ctrlProps/ctrlProp650.xml><?xml version="1.0" encoding="utf-8"?>
<formControlPr xmlns="http://schemas.microsoft.com/office/spreadsheetml/2009/9/main" objectType="CheckBox" lockText="1" noThreeD="1"/>
</file>

<file path=xl/ctrlProps/ctrlProp651.xml><?xml version="1.0" encoding="utf-8"?>
<formControlPr xmlns="http://schemas.microsoft.com/office/spreadsheetml/2009/9/main" objectType="CheckBox" lockText="1" noThreeD="1"/>
</file>

<file path=xl/ctrlProps/ctrlProp652.xml><?xml version="1.0" encoding="utf-8"?>
<formControlPr xmlns="http://schemas.microsoft.com/office/spreadsheetml/2009/9/main" objectType="CheckBox" lockText="1" noThreeD="1"/>
</file>

<file path=xl/ctrlProps/ctrlProp653.xml><?xml version="1.0" encoding="utf-8"?>
<formControlPr xmlns="http://schemas.microsoft.com/office/spreadsheetml/2009/9/main" objectType="CheckBox" lockText="1" noThreeD="1"/>
</file>

<file path=xl/ctrlProps/ctrlProp654.xml><?xml version="1.0" encoding="utf-8"?>
<formControlPr xmlns="http://schemas.microsoft.com/office/spreadsheetml/2009/9/main" objectType="CheckBox" lockText="1" noThreeD="1"/>
</file>

<file path=xl/ctrlProps/ctrlProp655.xml><?xml version="1.0" encoding="utf-8"?>
<formControlPr xmlns="http://schemas.microsoft.com/office/spreadsheetml/2009/9/main" objectType="CheckBox" lockText="1" noThreeD="1"/>
</file>

<file path=xl/ctrlProps/ctrlProp656.xml><?xml version="1.0" encoding="utf-8"?>
<formControlPr xmlns="http://schemas.microsoft.com/office/spreadsheetml/2009/9/main" objectType="CheckBox" lockText="1" noThreeD="1"/>
</file>

<file path=xl/ctrlProps/ctrlProp657.xml><?xml version="1.0" encoding="utf-8"?>
<formControlPr xmlns="http://schemas.microsoft.com/office/spreadsheetml/2009/9/main" objectType="CheckBox" lockText="1" noThreeD="1"/>
</file>

<file path=xl/ctrlProps/ctrlProp658.xml><?xml version="1.0" encoding="utf-8"?>
<formControlPr xmlns="http://schemas.microsoft.com/office/spreadsheetml/2009/9/main" objectType="CheckBox" lockText="1" noThreeD="1"/>
</file>

<file path=xl/ctrlProps/ctrlProp659.xml><?xml version="1.0" encoding="utf-8"?>
<formControlPr xmlns="http://schemas.microsoft.com/office/spreadsheetml/2009/9/main" objectType="CheckBox" lockText="1" noThreeD="1"/>
</file>

<file path=xl/ctrlProps/ctrlProp660.xml><?xml version="1.0" encoding="utf-8"?>
<formControlPr xmlns="http://schemas.microsoft.com/office/spreadsheetml/2009/9/main" objectType="CheckBox" lockText="1" noThreeD="1"/>
</file>

<file path=xl/ctrlProps/ctrlProp661.xml><?xml version="1.0" encoding="utf-8"?>
<formControlPr xmlns="http://schemas.microsoft.com/office/spreadsheetml/2009/9/main" objectType="CheckBox" lockText="1" noThreeD="1"/>
</file>

<file path=xl/ctrlProps/ctrlProp662.xml><?xml version="1.0" encoding="utf-8"?>
<formControlPr xmlns="http://schemas.microsoft.com/office/spreadsheetml/2009/9/main" objectType="CheckBox" lockText="1" noThreeD="1"/>
</file>

<file path=xl/ctrlProps/ctrlProp663.xml><?xml version="1.0" encoding="utf-8"?>
<formControlPr xmlns="http://schemas.microsoft.com/office/spreadsheetml/2009/9/main" objectType="CheckBox" lockText="1" noThreeD="1"/>
</file>

<file path=xl/ctrlProps/ctrlProp664.xml><?xml version="1.0" encoding="utf-8"?>
<formControlPr xmlns="http://schemas.microsoft.com/office/spreadsheetml/2009/9/main" objectType="CheckBox" lockText="1" noThreeD="1"/>
</file>

<file path=xl/ctrlProps/ctrlProp665.xml><?xml version="1.0" encoding="utf-8"?>
<formControlPr xmlns="http://schemas.microsoft.com/office/spreadsheetml/2009/9/main" objectType="CheckBox" lockText="1" noThreeD="1"/>
</file>

<file path=xl/ctrlProps/ctrlProp666.xml><?xml version="1.0" encoding="utf-8"?>
<formControlPr xmlns="http://schemas.microsoft.com/office/spreadsheetml/2009/9/main" objectType="CheckBox" lockText="1" noThreeD="1"/>
</file>

<file path=xl/ctrlProps/ctrlProp667.xml><?xml version="1.0" encoding="utf-8"?>
<formControlPr xmlns="http://schemas.microsoft.com/office/spreadsheetml/2009/9/main" objectType="CheckBox" lockText="1" noThreeD="1"/>
</file>

<file path=xl/ctrlProps/ctrlProp668.xml><?xml version="1.0" encoding="utf-8"?>
<formControlPr xmlns="http://schemas.microsoft.com/office/spreadsheetml/2009/9/main" objectType="CheckBox" lockText="1" noThreeD="1"/>
</file>

<file path=xl/ctrlProps/ctrlProp669.xml><?xml version="1.0" encoding="utf-8"?>
<formControlPr xmlns="http://schemas.microsoft.com/office/spreadsheetml/2009/9/main" objectType="CheckBox" lockText="1" noThreeD="1"/>
</file>

<file path=xl/ctrlProps/ctrlProp670.xml><?xml version="1.0" encoding="utf-8"?>
<formControlPr xmlns="http://schemas.microsoft.com/office/spreadsheetml/2009/9/main" objectType="CheckBox" lockText="1" noThreeD="1"/>
</file>

<file path=xl/ctrlProps/ctrlProp671.xml><?xml version="1.0" encoding="utf-8"?>
<formControlPr xmlns="http://schemas.microsoft.com/office/spreadsheetml/2009/9/main" objectType="CheckBox" lockText="1" noThreeD="1"/>
</file>

<file path=xl/ctrlProps/ctrlProp672.xml><?xml version="1.0" encoding="utf-8"?>
<formControlPr xmlns="http://schemas.microsoft.com/office/spreadsheetml/2009/9/main" objectType="CheckBox" lockText="1" noThreeD="1"/>
</file>

<file path=xl/ctrlProps/ctrlProp673.xml><?xml version="1.0" encoding="utf-8"?>
<formControlPr xmlns="http://schemas.microsoft.com/office/spreadsheetml/2009/9/main" objectType="CheckBox" lockText="1" noThreeD="1"/>
</file>

<file path=xl/ctrlProps/ctrlProp674.xml><?xml version="1.0" encoding="utf-8"?>
<formControlPr xmlns="http://schemas.microsoft.com/office/spreadsheetml/2009/9/main" objectType="CheckBox" lockText="1" noThreeD="1"/>
</file>

<file path=xl/ctrlProps/ctrlProp675.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2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2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2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2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2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2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2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2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2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27</xdr:row>
          <xdr:rowOff>127000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2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2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2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2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2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2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2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2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2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2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2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2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2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1" name="Check Box 25" hidden="1">
              <a:extLst>
                <a:ext uri="{63B3BB69-23CF-44E3-9099-C40C66FF867C}">
                  <a14:compatExt spid="_x0000_s4121"/>
                </a:ext>
                <a:ext uri="{FF2B5EF4-FFF2-40B4-BE49-F238E27FC236}">
                  <a16:creationId xmlns:a16="http://schemas.microsoft.com/office/drawing/2014/main" id="{00000000-0008-0000-0200-00001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2" name="Check Box 26" hidden="1">
              <a:extLst>
                <a:ext uri="{63B3BB69-23CF-44E3-9099-C40C66FF867C}">
                  <a14:compatExt spid="_x0000_s4122"/>
                </a:ext>
                <a:ext uri="{FF2B5EF4-FFF2-40B4-BE49-F238E27FC236}">
                  <a16:creationId xmlns:a16="http://schemas.microsoft.com/office/drawing/2014/main" id="{00000000-0008-0000-0200-00001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3" name="Check Box 27" hidden="1">
              <a:extLst>
                <a:ext uri="{63B3BB69-23CF-44E3-9099-C40C66FF867C}">
                  <a14:compatExt spid="_x0000_s4123"/>
                </a:ext>
                <a:ext uri="{FF2B5EF4-FFF2-40B4-BE49-F238E27FC236}">
                  <a16:creationId xmlns:a16="http://schemas.microsoft.com/office/drawing/2014/main" id="{00000000-0008-0000-0200-00001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4" name="Check Box 28" hidden="1">
              <a:extLst>
                <a:ext uri="{63B3BB69-23CF-44E3-9099-C40C66FF867C}">
                  <a14:compatExt spid="_x0000_s4124"/>
                </a:ext>
                <a:ext uri="{FF2B5EF4-FFF2-40B4-BE49-F238E27FC236}">
                  <a16:creationId xmlns:a16="http://schemas.microsoft.com/office/drawing/2014/main" id="{00000000-0008-0000-0200-00001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5" name="Check Box 29" hidden="1">
              <a:extLst>
                <a:ext uri="{63B3BB69-23CF-44E3-9099-C40C66FF867C}">
                  <a14:compatExt spid="_x0000_s4125"/>
                </a:ext>
                <a:ext uri="{FF2B5EF4-FFF2-40B4-BE49-F238E27FC236}">
                  <a16:creationId xmlns:a16="http://schemas.microsoft.com/office/drawing/2014/main" id="{00000000-0008-0000-0200-00001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6" name="Check Box 30" hidden="1">
              <a:extLst>
                <a:ext uri="{63B3BB69-23CF-44E3-9099-C40C66FF867C}">
                  <a14:compatExt spid="_x0000_s4126"/>
                </a:ext>
                <a:ext uri="{FF2B5EF4-FFF2-40B4-BE49-F238E27FC236}">
                  <a16:creationId xmlns:a16="http://schemas.microsoft.com/office/drawing/2014/main" id="{00000000-0008-0000-0200-00001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7" name="Check Box 31" hidden="1">
              <a:extLst>
                <a:ext uri="{63B3BB69-23CF-44E3-9099-C40C66FF867C}">
                  <a14:compatExt spid="_x0000_s4127"/>
                </a:ext>
                <a:ext uri="{FF2B5EF4-FFF2-40B4-BE49-F238E27FC236}">
                  <a16:creationId xmlns:a16="http://schemas.microsoft.com/office/drawing/2014/main" id="{00000000-0008-0000-0200-00001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8" name="Check Box 32" hidden="1">
              <a:extLst>
                <a:ext uri="{63B3BB69-23CF-44E3-9099-C40C66FF867C}">
                  <a14:compatExt spid="_x0000_s4128"/>
                </a:ext>
                <a:ext uri="{FF2B5EF4-FFF2-40B4-BE49-F238E27FC236}">
                  <a16:creationId xmlns:a16="http://schemas.microsoft.com/office/drawing/2014/main" id="{00000000-0008-0000-0200-00002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9" name="Check Box 33" hidden="1">
              <a:extLst>
                <a:ext uri="{63B3BB69-23CF-44E3-9099-C40C66FF867C}">
                  <a14:compatExt spid="_x0000_s4129"/>
                </a:ext>
                <a:ext uri="{FF2B5EF4-FFF2-40B4-BE49-F238E27FC236}">
                  <a16:creationId xmlns:a16="http://schemas.microsoft.com/office/drawing/2014/main" id="{00000000-0008-0000-0200-00002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0" name="Check Box 34" hidden="1">
              <a:extLst>
                <a:ext uri="{63B3BB69-23CF-44E3-9099-C40C66FF867C}">
                  <a14:compatExt spid="_x0000_s4130"/>
                </a:ext>
                <a:ext uri="{FF2B5EF4-FFF2-40B4-BE49-F238E27FC236}">
                  <a16:creationId xmlns:a16="http://schemas.microsoft.com/office/drawing/2014/main" id="{00000000-0008-0000-0200-00002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1" name="Check Box 35" hidden="1">
              <a:extLst>
                <a:ext uri="{63B3BB69-23CF-44E3-9099-C40C66FF867C}">
                  <a14:compatExt spid="_x0000_s4131"/>
                </a:ext>
                <a:ext uri="{FF2B5EF4-FFF2-40B4-BE49-F238E27FC236}">
                  <a16:creationId xmlns:a16="http://schemas.microsoft.com/office/drawing/2014/main" id="{00000000-0008-0000-0200-00002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2" name="Check Box 36" hidden="1">
              <a:extLst>
                <a:ext uri="{63B3BB69-23CF-44E3-9099-C40C66FF867C}">
                  <a14:compatExt spid="_x0000_s4132"/>
                </a:ext>
                <a:ext uri="{FF2B5EF4-FFF2-40B4-BE49-F238E27FC236}">
                  <a16:creationId xmlns:a16="http://schemas.microsoft.com/office/drawing/2014/main" id="{00000000-0008-0000-0200-00002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3" name="Check Box 37" hidden="1">
              <a:extLst>
                <a:ext uri="{63B3BB69-23CF-44E3-9099-C40C66FF867C}">
                  <a14:compatExt spid="_x0000_s4133"/>
                </a:ext>
                <a:ext uri="{FF2B5EF4-FFF2-40B4-BE49-F238E27FC236}">
                  <a16:creationId xmlns:a16="http://schemas.microsoft.com/office/drawing/2014/main" id="{00000000-0008-0000-0200-00002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200-00002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200-00002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200-00002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200-00002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200-00002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200-00002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27</xdr:row>
          <xdr:rowOff>127000</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200-00002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00000000-0008-0000-0200-00002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2" name="Check Box 46" hidden="1">
              <a:extLst>
                <a:ext uri="{63B3BB69-23CF-44E3-9099-C40C66FF867C}">
                  <a14:compatExt spid="_x0000_s4142"/>
                </a:ext>
                <a:ext uri="{FF2B5EF4-FFF2-40B4-BE49-F238E27FC236}">
                  <a16:creationId xmlns:a16="http://schemas.microsoft.com/office/drawing/2014/main" id="{00000000-0008-0000-0200-00002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3" name="Check Box 47" hidden="1">
              <a:extLst>
                <a:ext uri="{63B3BB69-23CF-44E3-9099-C40C66FF867C}">
                  <a14:compatExt spid="_x0000_s4143"/>
                </a:ext>
                <a:ext uri="{FF2B5EF4-FFF2-40B4-BE49-F238E27FC236}">
                  <a16:creationId xmlns:a16="http://schemas.microsoft.com/office/drawing/2014/main" id="{00000000-0008-0000-0200-00002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4" name="Check Box 48" hidden="1">
              <a:extLst>
                <a:ext uri="{63B3BB69-23CF-44E3-9099-C40C66FF867C}">
                  <a14:compatExt spid="_x0000_s4144"/>
                </a:ext>
                <a:ext uri="{FF2B5EF4-FFF2-40B4-BE49-F238E27FC236}">
                  <a16:creationId xmlns:a16="http://schemas.microsoft.com/office/drawing/2014/main" id="{00000000-0008-0000-0200-00003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200-00003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6" name="Check Box 50" hidden="1">
              <a:extLst>
                <a:ext uri="{63B3BB69-23CF-44E3-9099-C40C66FF867C}">
                  <a14:compatExt spid="_x0000_s4146"/>
                </a:ext>
                <a:ext uri="{FF2B5EF4-FFF2-40B4-BE49-F238E27FC236}">
                  <a16:creationId xmlns:a16="http://schemas.microsoft.com/office/drawing/2014/main" id="{00000000-0008-0000-0200-00003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200-00003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200-00003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9" name="Check Box 53" hidden="1">
              <a:extLst>
                <a:ext uri="{63B3BB69-23CF-44E3-9099-C40C66FF867C}">
                  <a14:compatExt spid="_x0000_s4149"/>
                </a:ext>
                <a:ext uri="{FF2B5EF4-FFF2-40B4-BE49-F238E27FC236}">
                  <a16:creationId xmlns:a16="http://schemas.microsoft.com/office/drawing/2014/main" id="{00000000-0008-0000-0200-00003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150" name="Check Box 54" hidden="1">
              <a:extLst>
                <a:ext uri="{63B3BB69-23CF-44E3-9099-C40C66FF867C}">
                  <a14:compatExt spid="_x0000_s4150"/>
                </a:ext>
                <a:ext uri="{FF2B5EF4-FFF2-40B4-BE49-F238E27FC236}">
                  <a16:creationId xmlns:a16="http://schemas.microsoft.com/office/drawing/2014/main" id="{00000000-0008-0000-0200-00003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1" name="Check Box 55" hidden="1">
              <a:extLst>
                <a:ext uri="{63B3BB69-23CF-44E3-9099-C40C66FF867C}">
                  <a14:compatExt spid="_x0000_s4151"/>
                </a:ext>
                <a:ext uri="{FF2B5EF4-FFF2-40B4-BE49-F238E27FC236}">
                  <a16:creationId xmlns:a16="http://schemas.microsoft.com/office/drawing/2014/main" id="{00000000-0008-0000-0200-00003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2" name="Check Box 56" hidden="1">
              <a:extLst>
                <a:ext uri="{63B3BB69-23CF-44E3-9099-C40C66FF867C}">
                  <a14:compatExt spid="_x0000_s4152"/>
                </a:ext>
                <a:ext uri="{FF2B5EF4-FFF2-40B4-BE49-F238E27FC236}">
                  <a16:creationId xmlns:a16="http://schemas.microsoft.com/office/drawing/2014/main" id="{00000000-0008-0000-0200-00003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3" name="Check Box 57" hidden="1">
              <a:extLst>
                <a:ext uri="{63B3BB69-23CF-44E3-9099-C40C66FF867C}">
                  <a14:compatExt spid="_x0000_s4153"/>
                </a:ext>
                <a:ext uri="{FF2B5EF4-FFF2-40B4-BE49-F238E27FC236}">
                  <a16:creationId xmlns:a16="http://schemas.microsoft.com/office/drawing/2014/main" id="{00000000-0008-0000-0200-00003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4" name="Check Box 58" hidden="1">
              <a:extLst>
                <a:ext uri="{63B3BB69-23CF-44E3-9099-C40C66FF867C}">
                  <a14:compatExt spid="_x0000_s4154"/>
                </a:ext>
                <a:ext uri="{FF2B5EF4-FFF2-40B4-BE49-F238E27FC236}">
                  <a16:creationId xmlns:a16="http://schemas.microsoft.com/office/drawing/2014/main" id="{00000000-0008-0000-0200-00003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5" name="Check Box 59" hidden="1">
              <a:extLst>
                <a:ext uri="{63B3BB69-23CF-44E3-9099-C40C66FF867C}">
                  <a14:compatExt spid="_x0000_s4155"/>
                </a:ext>
                <a:ext uri="{FF2B5EF4-FFF2-40B4-BE49-F238E27FC236}">
                  <a16:creationId xmlns:a16="http://schemas.microsoft.com/office/drawing/2014/main" id="{00000000-0008-0000-0200-00003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200-00003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200-00003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200-00003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2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2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2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62" name="Check Box 66" hidden="1">
              <a:extLst>
                <a:ext uri="{63B3BB69-23CF-44E3-9099-C40C66FF867C}">
                  <a14:compatExt spid="_x0000_s4162"/>
                </a:ext>
                <a:ext uri="{FF2B5EF4-FFF2-40B4-BE49-F238E27FC236}">
                  <a16:creationId xmlns:a16="http://schemas.microsoft.com/office/drawing/2014/main" id="{00000000-0008-0000-0200-00004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200-00004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200-00004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65" name="Check Box 69" hidden="1">
              <a:extLst>
                <a:ext uri="{63B3BB69-23CF-44E3-9099-C40C66FF867C}">
                  <a14:compatExt spid="_x0000_s4165"/>
                </a:ext>
                <a:ext uri="{FF2B5EF4-FFF2-40B4-BE49-F238E27FC236}">
                  <a16:creationId xmlns:a16="http://schemas.microsoft.com/office/drawing/2014/main" id="{00000000-0008-0000-0200-00004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200-00004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27</xdr:row>
          <xdr:rowOff>127000</xdr:rowOff>
        </xdr:to>
        <xdr:sp macro="" textlink="">
          <xdr:nvSpPr>
            <xdr:cNvPr id="4167" name="Check Box 71" hidden="1">
              <a:extLst>
                <a:ext uri="{63B3BB69-23CF-44E3-9099-C40C66FF867C}">
                  <a14:compatExt spid="_x0000_s4167"/>
                </a:ext>
                <a:ext uri="{FF2B5EF4-FFF2-40B4-BE49-F238E27FC236}">
                  <a16:creationId xmlns:a16="http://schemas.microsoft.com/office/drawing/2014/main" id="{00000000-0008-0000-0200-00004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68" name="Check Box 72" hidden="1">
              <a:extLst>
                <a:ext uri="{63B3BB69-23CF-44E3-9099-C40C66FF867C}">
                  <a14:compatExt spid="_x0000_s4168"/>
                </a:ext>
                <a:ext uri="{FF2B5EF4-FFF2-40B4-BE49-F238E27FC236}">
                  <a16:creationId xmlns:a16="http://schemas.microsoft.com/office/drawing/2014/main" id="{00000000-0008-0000-0200-00004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69" name="Check Box 73" hidden="1">
              <a:extLst>
                <a:ext uri="{63B3BB69-23CF-44E3-9099-C40C66FF867C}">
                  <a14:compatExt spid="_x0000_s4169"/>
                </a:ext>
                <a:ext uri="{FF2B5EF4-FFF2-40B4-BE49-F238E27FC236}">
                  <a16:creationId xmlns:a16="http://schemas.microsoft.com/office/drawing/2014/main" id="{00000000-0008-0000-0200-00004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0" name="Check Box 74" hidden="1">
              <a:extLst>
                <a:ext uri="{63B3BB69-23CF-44E3-9099-C40C66FF867C}">
                  <a14:compatExt spid="_x0000_s4170"/>
                </a:ext>
                <a:ext uri="{FF2B5EF4-FFF2-40B4-BE49-F238E27FC236}">
                  <a16:creationId xmlns:a16="http://schemas.microsoft.com/office/drawing/2014/main" id="{00000000-0008-0000-0200-00004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1" name="Check Box 75" hidden="1">
              <a:extLst>
                <a:ext uri="{63B3BB69-23CF-44E3-9099-C40C66FF867C}">
                  <a14:compatExt spid="_x0000_s4171"/>
                </a:ext>
                <a:ext uri="{FF2B5EF4-FFF2-40B4-BE49-F238E27FC236}">
                  <a16:creationId xmlns:a16="http://schemas.microsoft.com/office/drawing/2014/main" id="{00000000-0008-0000-0200-00004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2" name="Check Box 76" hidden="1">
              <a:extLst>
                <a:ext uri="{63B3BB69-23CF-44E3-9099-C40C66FF867C}">
                  <a14:compatExt spid="_x0000_s4172"/>
                </a:ext>
                <a:ext uri="{FF2B5EF4-FFF2-40B4-BE49-F238E27FC236}">
                  <a16:creationId xmlns:a16="http://schemas.microsoft.com/office/drawing/2014/main" id="{00000000-0008-0000-0200-00004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3" name="Check Box 77" hidden="1">
              <a:extLst>
                <a:ext uri="{63B3BB69-23CF-44E3-9099-C40C66FF867C}">
                  <a14:compatExt spid="_x0000_s4173"/>
                </a:ext>
                <a:ext uri="{FF2B5EF4-FFF2-40B4-BE49-F238E27FC236}">
                  <a16:creationId xmlns:a16="http://schemas.microsoft.com/office/drawing/2014/main" id="{00000000-0008-0000-0200-00004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4" name="Check Box 78" hidden="1">
              <a:extLst>
                <a:ext uri="{63B3BB69-23CF-44E3-9099-C40C66FF867C}">
                  <a14:compatExt spid="_x0000_s4174"/>
                </a:ext>
                <a:ext uri="{FF2B5EF4-FFF2-40B4-BE49-F238E27FC236}">
                  <a16:creationId xmlns:a16="http://schemas.microsoft.com/office/drawing/2014/main" id="{00000000-0008-0000-0200-00004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5" name="Check Box 79" hidden="1">
              <a:extLst>
                <a:ext uri="{63B3BB69-23CF-44E3-9099-C40C66FF867C}">
                  <a14:compatExt spid="_x0000_s4175"/>
                </a:ext>
                <a:ext uri="{FF2B5EF4-FFF2-40B4-BE49-F238E27FC236}">
                  <a16:creationId xmlns:a16="http://schemas.microsoft.com/office/drawing/2014/main" id="{00000000-0008-0000-0200-00004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176" name="Check Box 80" hidden="1">
              <a:extLst>
                <a:ext uri="{63B3BB69-23CF-44E3-9099-C40C66FF867C}">
                  <a14:compatExt spid="_x0000_s4176"/>
                </a:ext>
                <a:ext uri="{FF2B5EF4-FFF2-40B4-BE49-F238E27FC236}">
                  <a16:creationId xmlns:a16="http://schemas.microsoft.com/office/drawing/2014/main" id="{00000000-0008-0000-0200-00005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7" name="Check Box 81" hidden="1">
              <a:extLst>
                <a:ext uri="{63B3BB69-23CF-44E3-9099-C40C66FF867C}">
                  <a14:compatExt spid="_x0000_s4177"/>
                </a:ext>
                <a:ext uri="{FF2B5EF4-FFF2-40B4-BE49-F238E27FC236}">
                  <a16:creationId xmlns:a16="http://schemas.microsoft.com/office/drawing/2014/main" id="{00000000-0008-0000-0200-00005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8" name="Check Box 82" hidden="1">
              <a:extLst>
                <a:ext uri="{63B3BB69-23CF-44E3-9099-C40C66FF867C}">
                  <a14:compatExt spid="_x0000_s4178"/>
                </a:ext>
                <a:ext uri="{FF2B5EF4-FFF2-40B4-BE49-F238E27FC236}">
                  <a16:creationId xmlns:a16="http://schemas.microsoft.com/office/drawing/2014/main" id="{00000000-0008-0000-0200-00005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9" name="Check Box 83" hidden="1">
              <a:extLst>
                <a:ext uri="{63B3BB69-23CF-44E3-9099-C40C66FF867C}">
                  <a14:compatExt spid="_x0000_s4179"/>
                </a:ext>
                <a:ext uri="{FF2B5EF4-FFF2-40B4-BE49-F238E27FC236}">
                  <a16:creationId xmlns:a16="http://schemas.microsoft.com/office/drawing/2014/main" id="{00000000-0008-0000-0200-00005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80" name="Check Box 84" hidden="1">
              <a:extLst>
                <a:ext uri="{63B3BB69-23CF-44E3-9099-C40C66FF867C}">
                  <a14:compatExt spid="_x0000_s4180"/>
                </a:ext>
                <a:ext uri="{FF2B5EF4-FFF2-40B4-BE49-F238E27FC236}">
                  <a16:creationId xmlns:a16="http://schemas.microsoft.com/office/drawing/2014/main" id="{00000000-0008-0000-0200-00005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81" name="Check Box 85" hidden="1">
              <a:extLst>
                <a:ext uri="{63B3BB69-23CF-44E3-9099-C40C66FF867C}">
                  <a14:compatExt spid="_x0000_s4181"/>
                </a:ext>
                <a:ext uri="{FF2B5EF4-FFF2-40B4-BE49-F238E27FC236}">
                  <a16:creationId xmlns:a16="http://schemas.microsoft.com/office/drawing/2014/main" id="{00000000-0008-0000-0200-00005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82" name="Check Box 86" hidden="1">
              <a:extLst>
                <a:ext uri="{63B3BB69-23CF-44E3-9099-C40C66FF867C}">
                  <a14:compatExt spid="_x0000_s4182"/>
                </a:ext>
                <a:ext uri="{FF2B5EF4-FFF2-40B4-BE49-F238E27FC236}">
                  <a16:creationId xmlns:a16="http://schemas.microsoft.com/office/drawing/2014/main" id="{00000000-0008-0000-0200-00005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83" name="Check Box 87" hidden="1">
              <a:extLst>
                <a:ext uri="{63B3BB69-23CF-44E3-9099-C40C66FF867C}">
                  <a14:compatExt spid="_x0000_s4183"/>
                </a:ext>
                <a:ext uri="{FF2B5EF4-FFF2-40B4-BE49-F238E27FC236}">
                  <a16:creationId xmlns:a16="http://schemas.microsoft.com/office/drawing/2014/main" id="{00000000-0008-0000-0200-00005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84" name="Check Box 88" hidden="1">
              <a:extLst>
                <a:ext uri="{63B3BB69-23CF-44E3-9099-C40C66FF867C}">
                  <a14:compatExt spid="_x0000_s4184"/>
                </a:ext>
                <a:ext uri="{FF2B5EF4-FFF2-40B4-BE49-F238E27FC236}">
                  <a16:creationId xmlns:a16="http://schemas.microsoft.com/office/drawing/2014/main" id="{00000000-0008-0000-0200-00005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85" name="Check Box 89" hidden="1">
              <a:extLst>
                <a:ext uri="{63B3BB69-23CF-44E3-9099-C40C66FF867C}">
                  <a14:compatExt spid="_x0000_s4185"/>
                </a:ext>
                <a:ext uri="{FF2B5EF4-FFF2-40B4-BE49-F238E27FC236}">
                  <a16:creationId xmlns:a16="http://schemas.microsoft.com/office/drawing/2014/main" id="{00000000-0008-0000-0200-00005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186" name="Check Box 90" hidden="1">
              <a:extLst>
                <a:ext uri="{63B3BB69-23CF-44E3-9099-C40C66FF867C}">
                  <a14:compatExt spid="_x0000_s4186"/>
                </a:ext>
                <a:ext uri="{FF2B5EF4-FFF2-40B4-BE49-F238E27FC236}">
                  <a16:creationId xmlns:a16="http://schemas.microsoft.com/office/drawing/2014/main" id="{00000000-0008-0000-0200-00005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187" name="Check Box 91" hidden="1">
              <a:extLst>
                <a:ext uri="{63B3BB69-23CF-44E3-9099-C40C66FF867C}">
                  <a14:compatExt spid="_x0000_s4187"/>
                </a:ext>
                <a:ext uri="{FF2B5EF4-FFF2-40B4-BE49-F238E27FC236}">
                  <a16:creationId xmlns:a16="http://schemas.microsoft.com/office/drawing/2014/main" id="{00000000-0008-0000-0200-00005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188" name="Check Box 92" hidden="1">
              <a:extLst>
                <a:ext uri="{63B3BB69-23CF-44E3-9099-C40C66FF867C}">
                  <a14:compatExt spid="_x0000_s4188"/>
                </a:ext>
                <a:ext uri="{FF2B5EF4-FFF2-40B4-BE49-F238E27FC236}">
                  <a16:creationId xmlns:a16="http://schemas.microsoft.com/office/drawing/2014/main" id="{00000000-0008-0000-0200-00005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89" name="Check Box 93" hidden="1">
              <a:extLst>
                <a:ext uri="{63B3BB69-23CF-44E3-9099-C40C66FF867C}">
                  <a14:compatExt spid="_x0000_s4189"/>
                </a:ext>
                <a:ext uri="{FF2B5EF4-FFF2-40B4-BE49-F238E27FC236}">
                  <a16:creationId xmlns:a16="http://schemas.microsoft.com/office/drawing/2014/main" id="{00000000-0008-0000-0200-00005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0" name="Check Box 94" hidden="1">
              <a:extLst>
                <a:ext uri="{63B3BB69-23CF-44E3-9099-C40C66FF867C}">
                  <a14:compatExt spid="_x0000_s4190"/>
                </a:ext>
                <a:ext uri="{FF2B5EF4-FFF2-40B4-BE49-F238E27FC236}">
                  <a16:creationId xmlns:a16="http://schemas.microsoft.com/office/drawing/2014/main" id="{00000000-0008-0000-0200-00005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1" name="Check Box 95" hidden="1">
              <a:extLst>
                <a:ext uri="{63B3BB69-23CF-44E3-9099-C40C66FF867C}">
                  <a14:compatExt spid="_x0000_s4191"/>
                </a:ext>
                <a:ext uri="{FF2B5EF4-FFF2-40B4-BE49-F238E27FC236}">
                  <a16:creationId xmlns:a16="http://schemas.microsoft.com/office/drawing/2014/main" id="{00000000-0008-0000-0200-00005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2" name="Check Box 96" hidden="1">
              <a:extLst>
                <a:ext uri="{63B3BB69-23CF-44E3-9099-C40C66FF867C}">
                  <a14:compatExt spid="_x0000_s4192"/>
                </a:ext>
                <a:ext uri="{FF2B5EF4-FFF2-40B4-BE49-F238E27FC236}">
                  <a16:creationId xmlns:a16="http://schemas.microsoft.com/office/drawing/2014/main" id="{00000000-0008-0000-0200-00006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3" name="Check Box 97" hidden="1">
              <a:extLst>
                <a:ext uri="{63B3BB69-23CF-44E3-9099-C40C66FF867C}">
                  <a14:compatExt spid="_x0000_s4193"/>
                </a:ext>
                <a:ext uri="{FF2B5EF4-FFF2-40B4-BE49-F238E27FC236}">
                  <a16:creationId xmlns:a16="http://schemas.microsoft.com/office/drawing/2014/main" id="{00000000-0008-0000-0200-00006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4" name="Check Box 98" hidden="1">
              <a:extLst>
                <a:ext uri="{63B3BB69-23CF-44E3-9099-C40C66FF867C}">
                  <a14:compatExt spid="_x0000_s4194"/>
                </a:ext>
                <a:ext uri="{FF2B5EF4-FFF2-40B4-BE49-F238E27FC236}">
                  <a16:creationId xmlns:a16="http://schemas.microsoft.com/office/drawing/2014/main" id="{00000000-0008-0000-0200-00006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5" name="Check Box 99" hidden="1">
              <a:extLst>
                <a:ext uri="{63B3BB69-23CF-44E3-9099-C40C66FF867C}">
                  <a14:compatExt spid="_x0000_s4195"/>
                </a:ext>
                <a:ext uri="{FF2B5EF4-FFF2-40B4-BE49-F238E27FC236}">
                  <a16:creationId xmlns:a16="http://schemas.microsoft.com/office/drawing/2014/main" id="{00000000-0008-0000-0200-00006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6" name="Check Box 100" hidden="1">
              <a:extLst>
                <a:ext uri="{63B3BB69-23CF-44E3-9099-C40C66FF867C}">
                  <a14:compatExt spid="_x0000_s4196"/>
                </a:ext>
                <a:ext uri="{FF2B5EF4-FFF2-40B4-BE49-F238E27FC236}">
                  <a16:creationId xmlns:a16="http://schemas.microsoft.com/office/drawing/2014/main" id="{00000000-0008-0000-0200-00006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7" name="Check Box 101" hidden="1">
              <a:extLst>
                <a:ext uri="{63B3BB69-23CF-44E3-9099-C40C66FF867C}">
                  <a14:compatExt spid="_x0000_s4197"/>
                </a:ext>
                <a:ext uri="{FF2B5EF4-FFF2-40B4-BE49-F238E27FC236}">
                  <a16:creationId xmlns:a16="http://schemas.microsoft.com/office/drawing/2014/main" id="{00000000-0008-0000-0200-00006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8" name="Check Box 102" hidden="1">
              <a:extLst>
                <a:ext uri="{63B3BB69-23CF-44E3-9099-C40C66FF867C}">
                  <a14:compatExt spid="_x0000_s4198"/>
                </a:ext>
                <a:ext uri="{FF2B5EF4-FFF2-40B4-BE49-F238E27FC236}">
                  <a16:creationId xmlns:a16="http://schemas.microsoft.com/office/drawing/2014/main" id="{00000000-0008-0000-0200-00006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9" name="Check Box 103" hidden="1">
              <a:extLst>
                <a:ext uri="{63B3BB69-23CF-44E3-9099-C40C66FF867C}">
                  <a14:compatExt spid="_x0000_s4199"/>
                </a:ext>
                <a:ext uri="{FF2B5EF4-FFF2-40B4-BE49-F238E27FC236}">
                  <a16:creationId xmlns:a16="http://schemas.microsoft.com/office/drawing/2014/main" id="{00000000-0008-0000-0200-00006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0" name="Check Box 104" hidden="1">
              <a:extLst>
                <a:ext uri="{63B3BB69-23CF-44E3-9099-C40C66FF867C}">
                  <a14:compatExt spid="_x0000_s4200"/>
                </a:ext>
                <a:ext uri="{FF2B5EF4-FFF2-40B4-BE49-F238E27FC236}">
                  <a16:creationId xmlns:a16="http://schemas.microsoft.com/office/drawing/2014/main" id="{00000000-0008-0000-0200-00006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1" name="Check Box 105" hidden="1">
              <a:extLst>
                <a:ext uri="{63B3BB69-23CF-44E3-9099-C40C66FF867C}">
                  <a14:compatExt spid="_x0000_s4201"/>
                </a:ext>
                <a:ext uri="{FF2B5EF4-FFF2-40B4-BE49-F238E27FC236}">
                  <a16:creationId xmlns:a16="http://schemas.microsoft.com/office/drawing/2014/main" id="{00000000-0008-0000-0200-00006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2" name="Check Box 106" hidden="1">
              <a:extLst>
                <a:ext uri="{63B3BB69-23CF-44E3-9099-C40C66FF867C}">
                  <a14:compatExt spid="_x0000_s4202"/>
                </a:ext>
                <a:ext uri="{FF2B5EF4-FFF2-40B4-BE49-F238E27FC236}">
                  <a16:creationId xmlns:a16="http://schemas.microsoft.com/office/drawing/2014/main" id="{00000000-0008-0000-0200-00006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200-00006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4" name="Check Box 108" hidden="1">
              <a:extLst>
                <a:ext uri="{63B3BB69-23CF-44E3-9099-C40C66FF867C}">
                  <a14:compatExt spid="_x0000_s4204"/>
                </a:ext>
                <a:ext uri="{FF2B5EF4-FFF2-40B4-BE49-F238E27FC236}">
                  <a16:creationId xmlns:a16="http://schemas.microsoft.com/office/drawing/2014/main" id="{00000000-0008-0000-0200-00006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200-00006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6" name="Check Box 110" hidden="1">
              <a:extLst>
                <a:ext uri="{63B3BB69-23CF-44E3-9099-C40C66FF867C}">
                  <a14:compatExt spid="_x0000_s4206"/>
                </a:ext>
                <a:ext uri="{FF2B5EF4-FFF2-40B4-BE49-F238E27FC236}">
                  <a16:creationId xmlns:a16="http://schemas.microsoft.com/office/drawing/2014/main" id="{00000000-0008-0000-0200-00006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7" name="Check Box 111" hidden="1">
              <a:extLst>
                <a:ext uri="{63B3BB69-23CF-44E3-9099-C40C66FF867C}">
                  <a14:compatExt spid="_x0000_s4207"/>
                </a:ext>
                <a:ext uri="{FF2B5EF4-FFF2-40B4-BE49-F238E27FC236}">
                  <a16:creationId xmlns:a16="http://schemas.microsoft.com/office/drawing/2014/main" id="{00000000-0008-0000-0200-00006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8" name="Check Box 112" hidden="1">
              <a:extLst>
                <a:ext uri="{63B3BB69-23CF-44E3-9099-C40C66FF867C}">
                  <a14:compatExt spid="_x0000_s4208"/>
                </a:ext>
                <a:ext uri="{FF2B5EF4-FFF2-40B4-BE49-F238E27FC236}">
                  <a16:creationId xmlns:a16="http://schemas.microsoft.com/office/drawing/2014/main" id="{00000000-0008-0000-0200-00007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9" name="Check Box 113" hidden="1">
              <a:extLst>
                <a:ext uri="{63B3BB69-23CF-44E3-9099-C40C66FF867C}">
                  <a14:compatExt spid="_x0000_s4209"/>
                </a:ext>
                <a:ext uri="{FF2B5EF4-FFF2-40B4-BE49-F238E27FC236}">
                  <a16:creationId xmlns:a16="http://schemas.microsoft.com/office/drawing/2014/main" id="{00000000-0008-0000-0200-00007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10" name="Check Box 114" hidden="1">
              <a:extLst>
                <a:ext uri="{63B3BB69-23CF-44E3-9099-C40C66FF867C}">
                  <a14:compatExt spid="_x0000_s4210"/>
                </a:ext>
                <a:ext uri="{FF2B5EF4-FFF2-40B4-BE49-F238E27FC236}">
                  <a16:creationId xmlns:a16="http://schemas.microsoft.com/office/drawing/2014/main" id="{00000000-0008-0000-0200-00007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11" name="Check Box 115" hidden="1">
              <a:extLst>
                <a:ext uri="{63B3BB69-23CF-44E3-9099-C40C66FF867C}">
                  <a14:compatExt spid="_x0000_s4211"/>
                </a:ext>
                <a:ext uri="{FF2B5EF4-FFF2-40B4-BE49-F238E27FC236}">
                  <a16:creationId xmlns:a16="http://schemas.microsoft.com/office/drawing/2014/main" id="{00000000-0008-0000-0200-00007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12" name="Check Box 116" hidden="1">
              <a:extLst>
                <a:ext uri="{63B3BB69-23CF-44E3-9099-C40C66FF867C}">
                  <a14:compatExt spid="_x0000_s4212"/>
                </a:ext>
                <a:ext uri="{FF2B5EF4-FFF2-40B4-BE49-F238E27FC236}">
                  <a16:creationId xmlns:a16="http://schemas.microsoft.com/office/drawing/2014/main" id="{00000000-0008-0000-0200-00007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13" name="Check Box 117" hidden="1">
              <a:extLst>
                <a:ext uri="{63B3BB69-23CF-44E3-9099-C40C66FF867C}">
                  <a14:compatExt spid="_x0000_s4213"/>
                </a:ext>
                <a:ext uri="{FF2B5EF4-FFF2-40B4-BE49-F238E27FC236}">
                  <a16:creationId xmlns:a16="http://schemas.microsoft.com/office/drawing/2014/main" id="{00000000-0008-0000-0200-00007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14" name="Check Box 118" hidden="1">
              <a:extLst>
                <a:ext uri="{63B3BB69-23CF-44E3-9099-C40C66FF867C}">
                  <a14:compatExt spid="_x0000_s4214"/>
                </a:ext>
                <a:ext uri="{FF2B5EF4-FFF2-40B4-BE49-F238E27FC236}">
                  <a16:creationId xmlns:a16="http://schemas.microsoft.com/office/drawing/2014/main" id="{00000000-0008-0000-0200-00007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15" name="Check Box 119" hidden="1">
              <a:extLst>
                <a:ext uri="{63B3BB69-23CF-44E3-9099-C40C66FF867C}">
                  <a14:compatExt spid="_x0000_s4215"/>
                </a:ext>
                <a:ext uri="{FF2B5EF4-FFF2-40B4-BE49-F238E27FC236}">
                  <a16:creationId xmlns:a16="http://schemas.microsoft.com/office/drawing/2014/main" id="{00000000-0008-0000-0200-00007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16" name="Check Box 120" hidden="1">
              <a:extLst>
                <a:ext uri="{63B3BB69-23CF-44E3-9099-C40C66FF867C}">
                  <a14:compatExt spid="_x0000_s4216"/>
                </a:ext>
                <a:ext uri="{FF2B5EF4-FFF2-40B4-BE49-F238E27FC236}">
                  <a16:creationId xmlns:a16="http://schemas.microsoft.com/office/drawing/2014/main" id="{00000000-0008-0000-0200-00007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17" name="Check Box 121" hidden="1">
              <a:extLst>
                <a:ext uri="{63B3BB69-23CF-44E3-9099-C40C66FF867C}">
                  <a14:compatExt spid="_x0000_s4217"/>
                </a:ext>
                <a:ext uri="{FF2B5EF4-FFF2-40B4-BE49-F238E27FC236}">
                  <a16:creationId xmlns:a16="http://schemas.microsoft.com/office/drawing/2014/main" id="{00000000-0008-0000-0200-00007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18" name="Check Box 122" hidden="1">
              <a:extLst>
                <a:ext uri="{63B3BB69-23CF-44E3-9099-C40C66FF867C}">
                  <a14:compatExt spid="_x0000_s4218"/>
                </a:ext>
                <a:ext uri="{FF2B5EF4-FFF2-40B4-BE49-F238E27FC236}">
                  <a16:creationId xmlns:a16="http://schemas.microsoft.com/office/drawing/2014/main" id="{00000000-0008-0000-0200-00007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19" name="Check Box 123" hidden="1">
              <a:extLst>
                <a:ext uri="{63B3BB69-23CF-44E3-9099-C40C66FF867C}">
                  <a14:compatExt spid="_x0000_s4219"/>
                </a:ext>
                <a:ext uri="{FF2B5EF4-FFF2-40B4-BE49-F238E27FC236}">
                  <a16:creationId xmlns:a16="http://schemas.microsoft.com/office/drawing/2014/main" id="{00000000-0008-0000-0200-00007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20" name="Check Box 124" hidden="1">
              <a:extLst>
                <a:ext uri="{63B3BB69-23CF-44E3-9099-C40C66FF867C}">
                  <a14:compatExt spid="_x0000_s4220"/>
                </a:ext>
                <a:ext uri="{FF2B5EF4-FFF2-40B4-BE49-F238E27FC236}">
                  <a16:creationId xmlns:a16="http://schemas.microsoft.com/office/drawing/2014/main" id="{00000000-0008-0000-0200-00007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21" name="Check Box 125" hidden="1">
              <a:extLst>
                <a:ext uri="{63B3BB69-23CF-44E3-9099-C40C66FF867C}">
                  <a14:compatExt spid="_x0000_s4221"/>
                </a:ext>
                <a:ext uri="{FF2B5EF4-FFF2-40B4-BE49-F238E27FC236}">
                  <a16:creationId xmlns:a16="http://schemas.microsoft.com/office/drawing/2014/main" id="{00000000-0008-0000-0200-00007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22" name="Check Box 126" hidden="1">
              <a:extLst>
                <a:ext uri="{63B3BB69-23CF-44E3-9099-C40C66FF867C}">
                  <a14:compatExt spid="_x0000_s4222"/>
                </a:ext>
                <a:ext uri="{FF2B5EF4-FFF2-40B4-BE49-F238E27FC236}">
                  <a16:creationId xmlns:a16="http://schemas.microsoft.com/office/drawing/2014/main" id="{00000000-0008-0000-0200-00007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23" name="Check Box 127" hidden="1">
              <a:extLst>
                <a:ext uri="{63B3BB69-23CF-44E3-9099-C40C66FF867C}">
                  <a14:compatExt spid="_x0000_s4223"/>
                </a:ext>
                <a:ext uri="{FF2B5EF4-FFF2-40B4-BE49-F238E27FC236}">
                  <a16:creationId xmlns:a16="http://schemas.microsoft.com/office/drawing/2014/main" id="{00000000-0008-0000-0200-00007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24" name="Check Box 128" hidden="1">
              <a:extLst>
                <a:ext uri="{63B3BB69-23CF-44E3-9099-C40C66FF867C}">
                  <a14:compatExt spid="_x0000_s4224"/>
                </a:ext>
                <a:ext uri="{FF2B5EF4-FFF2-40B4-BE49-F238E27FC236}">
                  <a16:creationId xmlns:a16="http://schemas.microsoft.com/office/drawing/2014/main" id="{00000000-0008-0000-0200-00008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25" name="Check Box 129" hidden="1">
              <a:extLst>
                <a:ext uri="{63B3BB69-23CF-44E3-9099-C40C66FF867C}">
                  <a14:compatExt spid="_x0000_s4225"/>
                </a:ext>
                <a:ext uri="{FF2B5EF4-FFF2-40B4-BE49-F238E27FC236}">
                  <a16:creationId xmlns:a16="http://schemas.microsoft.com/office/drawing/2014/main" id="{00000000-0008-0000-0200-00008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26" name="Check Box 130" hidden="1">
              <a:extLst>
                <a:ext uri="{63B3BB69-23CF-44E3-9099-C40C66FF867C}">
                  <a14:compatExt spid="_x0000_s4226"/>
                </a:ext>
                <a:ext uri="{FF2B5EF4-FFF2-40B4-BE49-F238E27FC236}">
                  <a16:creationId xmlns:a16="http://schemas.microsoft.com/office/drawing/2014/main" id="{00000000-0008-0000-0200-00008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27" name="Check Box 131" hidden="1">
              <a:extLst>
                <a:ext uri="{63B3BB69-23CF-44E3-9099-C40C66FF867C}">
                  <a14:compatExt spid="_x0000_s4227"/>
                </a:ext>
                <a:ext uri="{FF2B5EF4-FFF2-40B4-BE49-F238E27FC236}">
                  <a16:creationId xmlns:a16="http://schemas.microsoft.com/office/drawing/2014/main" id="{00000000-0008-0000-0200-00008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28" name="Check Box 132" hidden="1">
              <a:extLst>
                <a:ext uri="{63B3BB69-23CF-44E3-9099-C40C66FF867C}">
                  <a14:compatExt spid="_x0000_s4228"/>
                </a:ext>
                <a:ext uri="{FF2B5EF4-FFF2-40B4-BE49-F238E27FC236}">
                  <a16:creationId xmlns:a16="http://schemas.microsoft.com/office/drawing/2014/main" id="{00000000-0008-0000-0200-00008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29" name="Check Box 133" hidden="1">
              <a:extLst>
                <a:ext uri="{63B3BB69-23CF-44E3-9099-C40C66FF867C}">
                  <a14:compatExt spid="_x0000_s4229"/>
                </a:ext>
                <a:ext uri="{FF2B5EF4-FFF2-40B4-BE49-F238E27FC236}">
                  <a16:creationId xmlns:a16="http://schemas.microsoft.com/office/drawing/2014/main" id="{00000000-0008-0000-0200-00008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30" name="Check Box 134" hidden="1">
              <a:extLst>
                <a:ext uri="{63B3BB69-23CF-44E3-9099-C40C66FF867C}">
                  <a14:compatExt spid="_x0000_s4230"/>
                </a:ext>
                <a:ext uri="{FF2B5EF4-FFF2-40B4-BE49-F238E27FC236}">
                  <a16:creationId xmlns:a16="http://schemas.microsoft.com/office/drawing/2014/main" id="{00000000-0008-0000-0200-00008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31" name="Check Box 135" hidden="1">
              <a:extLst>
                <a:ext uri="{63B3BB69-23CF-44E3-9099-C40C66FF867C}">
                  <a14:compatExt spid="_x0000_s4231"/>
                </a:ext>
                <a:ext uri="{FF2B5EF4-FFF2-40B4-BE49-F238E27FC236}">
                  <a16:creationId xmlns:a16="http://schemas.microsoft.com/office/drawing/2014/main" id="{00000000-0008-0000-0200-00008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32" name="Check Box 136" hidden="1">
              <a:extLst>
                <a:ext uri="{63B3BB69-23CF-44E3-9099-C40C66FF867C}">
                  <a14:compatExt spid="_x0000_s4232"/>
                </a:ext>
                <a:ext uri="{FF2B5EF4-FFF2-40B4-BE49-F238E27FC236}">
                  <a16:creationId xmlns:a16="http://schemas.microsoft.com/office/drawing/2014/main" id="{00000000-0008-0000-0200-00008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33" name="Check Box 137" hidden="1">
              <a:extLst>
                <a:ext uri="{63B3BB69-23CF-44E3-9099-C40C66FF867C}">
                  <a14:compatExt spid="_x0000_s4233"/>
                </a:ext>
                <a:ext uri="{FF2B5EF4-FFF2-40B4-BE49-F238E27FC236}">
                  <a16:creationId xmlns:a16="http://schemas.microsoft.com/office/drawing/2014/main" id="{00000000-0008-0000-0200-00008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34" name="Check Box 138" hidden="1">
              <a:extLst>
                <a:ext uri="{63B3BB69-23CF-44E3-9099-C40C66FF867C}">
                  <a14:compatExt spid="_x0000_s4234"/>
                </a:ext>
                <a:ext uri="{FF2B5EF4-FFF2-40B4-BE49-F238E27FC236}">
                  <a16:creationId xmlns:a16="http://schemas.microsoft.com/office/drawing/2014/main" id="{00000000-0008-0000-0200-00008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35" name="Check Box 139" hidden="1">
              <a:extLst>
                <a:ext uri="{63B3BB69-23CF-44E3-9099-C40C66FF867C}">
                  <a14:compatExt spid="_x0000_s4235"/>
                </a:ext>
                <a:ext uri="{FF2B5EF4-FFF2-40B4-BE49-F238E27FC236}">
                  <a16:creationId xmlns:a16="http://schemas.microsoft.com/office/drawing/2014/main" id="{00000000-0008-0000-0200-00008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36" name="Check Box 140" hidden="1">
              <a:extLst>
                <a:ext uri="{63B3BB69-23CF-44E3-9099-C40C66FF867C}">
                  <a14:compatExt spid="_x0000_s4236"/>
                </a:ext>
                <a:ext uri="{FF2B5EF4-FFF2-40B4-BE49-F238E27FC236}">
                  <a16:creationId xmlns:a16="http://schemas.microsoft.com/office/drawing/2014/main" id="{00000000-0008-0000-0200-00008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37" name="Check Box 141" hidden="1">
              <a:extLst>
                <a:ext uri="{63B3BB69-23CF-44E3-9099-C40C66FF867C}">
                  <a14:compatExt spid="_x0000_s4237"/>
                </a:ext>
                <a:ext uri="{FF2B5EF4-FFF2-40B4-BE49-F238E27FC236}">
                  <a16:creationId xmlns:a16="http://schemas.microsoft.com/office/drawing/2014/main" id="{00000000-0008-0000-0200-00008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38" name="Check Box 142" hidden="1">
              <a:extLst>
                <a:ext uri="{63B3BB69-23CF-44E3-9099-C40C66FF867C}">
                  <a14:compatExt spid="_x0000_s4238"/>
                </a:ext>
                <a:ext uri="{FF2B5EF4-FFF2-40B4-BE49-F238E27FC236}">
                  <a16:creationId xmlns:a16="http://schemas.microsoft.com/office/drawing/2014/main" id="{00000000-0008-0000-0200-00008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39" name="Check Box 143" hidden="1">
              <a:extLst>
                <a:ext uri="{63B3BB69-23CF-44E3-9099-C40C66FF867C}">
                  <a14:compatExt spid="_x0000_s4239"/>
                </a:ext>
                <a:ext uri="{FF2B5EF4-FFF2-40B4-BE49-F238E27FC236}">
                  <a16:creationId xmlns:a16="http://schemas.microsoft.com/office/drawing/2014/main" id="{00000000-0008-0000-0200-00008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0" name="Check Box 144" hidden="1">
              <a:extLst>
                <a:ext uri="{63B3BB69-23CF-44E3-9099-C40C66FF867C}">
                  <a14:compatExt spid="_x0000_s4240"/>
                </a:ext>
                <a:ext uri="{FF2B5EF4-FFF2-40B4-BE49-F238E27FC236}">
                  <a16:creationId xmlns:a16="http://schemas.microsoft.com/office/drawing/2014/main" id="{00000000-0008-0000-0200-00009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1" name="Check Box 145" hidden="1">
              <a:extLst>
                <a:ext uri="{63B3BB69-23CF-44E3-9099-C40C66FF867C}">
                  <a14:compatExt spid="_x0000_s4241"/>
                </a:ext>
                <a:ext uri="{FF2B5EF4-FFF2-40B4-BE49-F238E27FC236}">
                  <a16:creationId xmlns:a16="http://schemas.microsoft.com/office/drawing/2014/main" id="{00000000-0008-0000-0200-00009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2" name="Check Box 146" hidden="1">
              <a:extLst>
                <a:ext uri="{63B3BB69-23CF-44E3-9099-C40C66FF867C}">
                  <a14:compatExt spid="_x0000_s4242"/>
                </a:ext>
                <a:ext uri="{FF2B5EF4-FFF2-40B4-BE49-F238E27FC236}">
                  <a16:creationId xmlns:a16="http://schemas.microsoft.com/office/drawing/2014/main" id="{00000000-0008-0000-0200-00009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3" name="Check Box 147" hidden="1">
              <a:extLst>
                <a:ext uri="{63B3BB69-23CF-44E3-9099-C40C66FF867C}">
                  <a14:compatExt spid="_x0000_s4243"/>
                </a:ext>
                <a:ext uri="{FF2B5EF4-FFF2-40B4-BE49-F238E27FC236}">
                  <a16:creationId xmlns:a16="http://schemas.microsoft.com/office/drawing/2014/main" id="{00000000-0008-0000-0200-00009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4" name="Check Box 148" hidden="1">
              <a:extLst>
                <a:ext uri="{63B3BB69-23CF-44E3-9099-C40C66FF867C}">
                  <a14:compatExt spid="_x0000_s4244"/>
                </a:ext>
                <a:ext uri="{FF2B5EF4-FFF2-40B4-BE49-F238E27FC236}">
                  <a16:creationId xmlns:a16="http://schemas.microsoft.com/office/drawing/2014/main" id="{00000000-0008-0000-0200-00009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5" name="Check Box 149" hidden="1">
              <a:extLst>
                <a:ext uri="{63B3BB69-23CF-44E3-9099-C40C66FF867C}">
                  <a14:compatExt spid="_x0000_s4245"/>
                </a:ext>
                <a:ext uri="{FF2B5EF4-FFF2-40B4-BE49-F238E27FC236}">
                  <a16:creationId xmlns:a16="http://schemas.microsoft.com/office/drawing/2014/main" id="{00000000-0008-0000-0200-00009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6" name="Check Box 150" hidden="1">
              <a:extLst>
                <a:ext uri="{63B3BB69-23CF-44E3-9099-C40C66FF867C}">
                  <a14:compatExt spid="_x0000_s4246"/>
                </a:ext>
                <a:ext uri="{FF2B5EF4-FFF2-40B4-BE49-F238E27FC236}">
                  <a16:creationId xmlns:a16="http://schemas.microsoft.com/office/drawing/2014/main" id="{00000000-0008-0000-0200-00009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7" name="Check Box 151" hidden="1">
              <a:extLst>
                <a:ext uri="{63B3BB69-23CF-44E3-9099-C40C66FF867C}">
                  <a14:compatExt spid="_x0000_s4247"/>
                </a:ext>
                <a:ext uri="{FF2B5EF4-FFF2-40B4-BE49-F238E27FC236}">
                  <a16:creationId xmlns:a16="http://schemas.microsoft.com/office/drawing/2014/main" id="{00000000-0008-0000-0200-00009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8" name="Check Box 152" hidden="1">
              <a:extLst>
                <a:ext uri="{63B3BB69-23CF-44E3-9099-C40C66FF867C}">
                  <a14:compatExt spid="_x0000_s4248"/>
                </a:ext>
                <a:ext uri="{FF2B5EF4-FFF2-40B4-BE49-F238E27FC236}">
                  <a16:creationId xmlns:a16="http://schemas.microsoft.com/office/drawing/2014/main" id="{00000000-0008-0000-0200-00009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49" name="Check Box 153" hidden="1">
              <a:extLst>
                <a:ext uri="{63B3BB69-23CF-44E3-9099-C40C66FF867C}">
                  <a14:compatExt spid="_x0000_s4249"/>
                </a:ext>
                <a:ext uri="{FF2B5EF4-FFF2-40B4-BE49-F238E27FC236}">
                  <a16:creationId xmlns:a16="http://schemas.microsoft.com/office/drawing/2014/main" id="{00000000-0008-0000-0200-00009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50" name="Check Box 154" hidden="1">
              <a:extLst>
                <a:ext uri="{63B3BB69-23CF-44E3-9099-C40C66FF867C}">
                  <a14:compatExt spid="_x0000_s4250"/>
                </a:ext>
                <a:ext uri="{FF2B5EF4-FFF2-40B4-BE49-F238E27FC236}">
                  <a16:creationId xmlns:a16="http://schemas.microsoft.com/office/drawing/2014/main" id="{00000000-0008-0000-0200-00009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51" name="Check Box 155" hidden="1">
              <a:extLst>
                <a:ext uri="{63B3BB69-23CF-44E3-9099-C40C66FF867C}">
                  <a14:compatExt spid="_x0000_s4251"/>
                </a:ext>
                <a:ext uri="{FF2B5EF4-FFF2-40B4-BE49-F238E27FC236}">
                  <a16:creationId xmlns:a16="http://schemas.microsoft.com/office/drawing/2014/main" id="{00000000-0008-0000-0200-00009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52" name="Check Box 156" hidden="1">
              <a:extLst>
                <a:ext uri="{63B3BB69-23CF-44E3-9099-C40C66FF867C}">
                  <a14:compatExt spid="_x0000_s4252"/>
                </a:ext>
                <a:ext uri="{FF2B5EF4-FFF2-40B4-BE49-F238E27FC236}">
                  <a16:creationId xmlns:a16="http://schemas.microsoft.com/office/drawing/2014/main" id="{00000000-0008-0000-0200-00009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53" name="Check Box 157" hidden="1">
              <a:extLst>
                <a:ext uri="{63B3BB69-23CF-44E3-9099-C40C66FF867C}">
                  <a14:compatExt spid="_x0000_s4253"/>
                </a:ext>
                <a:ext uri="{FF2B5EF4-FFF2-40B4-BE49-F238E27FC236}">
                  <a16:creationId xmlns:a16="http://schemas.microsoft.com/office/drawing/2014/main" id="{00000000-0008-0000-0200-00009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54" name="Check Box 158" hidden="1">
              <a:extLst>
                <a:ext uri="{63B3BB69-23CF-44E3-9099-C40C66FF867C}">
                  <a14:compatExt spid="_x0000_s4254"/>
                </a:ext>
                <a:ext uri="{FF2B5EF4-FFF2-40B4-BE49-F238E27FC236}">
                  <a16:creationId xmlns:a16="http://schemas.microsoft.com/office/drawing/2014/main" id="{00000000-0008-0000-0200-00009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55" name="Check Box 159" hidden="1">
              <a:extLst>
                <a:ext uri="{63B3BB69-23CF-44E3-9099-C40C66FF867C}">
                  <a14:compatExt spid="_x0000_s4255"/>
                </a:ext>
                <a:ext uri="{FF2B5EF4-FFF2-40B4-BE49-F238E27FC236}">
                  <a16:creationId xmlns:a16="http://schemas.microsoft.com/office/drawing/2014/main" id="{00000000-0008-0000-0200-00009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56" name="Check Box 160" hidden="1">
              <a:extLst>
                <a:ext uri="{63B3BB69-23CF-44E3-9099-C40C66FF867C}">
                  <a14:compatExt spid="_x0000_s4256"/>
                </a:ext>
                <a:ext uri="{FF2B5EF4-FFF2-40B4-BE49-F238E27FC236}">
                  <a16:creationId xmlns:a16="http://schemas.microsoft.com/office/drawing/2014/main" id="{00000000-0008-0000-0200-0000A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57" name="Check Box 161" hidden="1">
              <a:extLst>
                <a:ext uri="{63B3BB69-23CF-44E3-9099-C40C66FF867C}">
                  <a14:compatExt spid="_x0000_s4257"/>
                </a:ext>
                <a:ext uri="{FF2B5EF4-FFF2-40B4-BE49-F238E27FC236}">
                  <a16:creationId xmlns:a16="http://schemas.microsoft.com/office/drawing/2014/main" id="{00000000-0008-0000-0200-0000A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58" name="Check Box 162" hidden="1">
              <a:extLst>
                <a:ext uri="{63B3BB69-23CF-44E3-9099-C40C66FF867C}">
                  <a14:compatExt spid="_x0000_s4258"/>
                </a:ext>
                <a:ext uri="{FF2B5EF4-FFF2-40B4-BE49-F238E27FC236}">
                  <a16:creationId xmlns:a16="http://schemas.microsoft.com/office/drawing/2014/main" id="{00000000-0008-0000-0200-0000A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59" name="Check Box 163" hidden="1">
              <a:extLst>
                <a:ext uri="{63B3BB69-23CF-44E3-9099-C40C66FF867C}">
                  <a14:compatExt spid="_x0000_s4259"/>
                </a:ext>
                <a:ext uri="{FF2B5EF4-FFF2-40B4-BE49-F238E27FC236}">
                  <a16:creationId xmlns:a16="http://schemas.microsoft.com/office/drawing/2014/main" id="{00000000-0008-0000-0200-0000A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60" name="Check Box 164" hidden="1">
              <a:extLst>
                <a:ext uri="{63B3BB69-23CF-44E3-9099-C40C66FF867C}">
                  <a14:compatExt spid="_x0000_s4260"/>
                </a:ext>
                <a:ext uri="{FF2B5EF4-FFF2-40B4-BE49-F238E27FC236}">
                  <a16:creationId xmlns:a16="http://schemas.microsoft.com/office/drawing/2014/main" id="{00000000-0008-0000-0200-0000A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61" name="Check Box 165" hidden="1">
              <a:extLst>
                <a:ext uri="{63B3BB69-23CF-44E3-9099-C40C66FF867C}">
                  <a14:compatExt spid="_x0000_s4261"/>
                </a:ext>
                <a:ext uri="{FF2B5EF4-FFF2-40B4-BE49-F238E27FC236}">
                  <a16:creationId xmlns:a16="http://schemas.microsoft.com/office/drawing/2014/main" id="{00000000-0008-0000-0200-0000A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262" name="Check Box 166" hidden="1">
              <a:extLst>
                <a:ext uri="{63B3BB69-23CF-44E3-9099-C40C66FF867C}">
                  <a14:compatExt spid="_x0000_s4262"/>
                </a:ext>
                <a:ext uri="{FF2B5EF4-FFF2-40B4-BE49-F238E27FC236}">
                  <a16:creationId xmlns:a16="http://schemas.microsoft.com/office/drawing/2014/main" id="{00000000-0008-0000-0200-0000A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263" name="Check Box 167" hidden="1">
              <a:extLst>
                <a:ext uri="{63B3BB69-23CF-44E3-9099-C40C66FF867C}">
                  <a14:compatExt spid="_x0000_s4263"/>
                </a:ext>
                <a:ext uri="{FF2B5EF4-FFF2-40B4-BE49-F238E27FC236}">
                  <a16:creationId xmlns:a16="http://schemas.microsoft.com/office/drawing/2014/main" id="{00000000-0008-0000-0200-0000A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64" name="Check Box 168" hidden="1">
              <a:extLst>
                <a:ext uri="{63B3BB69-23CF-44E3-9099-C40C66FF867C}">
                  <a14:compatExt spid="_x0000_s4264"/>
                </a:ext>
                <a:ext uri="{FF2B5EF4-FFF2-40B4-BE49-F238E27FC236}">
                  <a16:creationId xmlns:a16="http://schemas.microsoft.com/office/drawing/2014/main" id="{00000000-0008-0000-0200-0000A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65" name="Check Box 169" hidden="1">
              <a:extLst>
                <a:ext uri="{63B3BB69-23CF-44E3-9099-C40C66FF867C}">
                  <a14:compatExt spid="_x0000_s4265"/>
                </a:ext>
                <a:ext uri="{FF2B5EF4-FFF2-40B4-BE49-F238E27FC236}">
                  <a16:creationId xmlns:a16="http://schemas.microsoft.com/office/drawing/2014/main" id="{00000000-0008-0000-0200-0000A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66" name="Check Box 170" hidden="1">
              <a:extLst>
                <a:ext uri="{63B3BB69-23CF-44E3-9099-C40C66FF867C}">
                  <a14:compatExt spid="_x0000_s4266"/>
                </a:ext>
                <a:ext uri="{FF2B5EF4-FFF2-40B4-BE49-F238E27FC236}">
                  <a16:creationId xmlns:a16="http://schemas.microsoft.com/office/drawing/2014/main" id="{00000000-0008-0000-0200-0000A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67" name="Check Box 171" hidden="1">
              <a:extLst>
                <a:ext uri="{63B3BB69-23CF-44E3-9099-C40C66FF867C}">
                  <a14:compatExt spid="_x0000_s4267"/>
                </a:ext>
                <a:ext uri="{FF2B5EF4-FFF2-40B4-BE49-F238E27FC236}">
                  <a16:creationId xmlns:a16="http://schemas.microsoft.com/office/drawing/2014/main" id="{00000000-0008-0000-0200-0000A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68" name="Check Box 172" hidden="1">
              <a:extLst>
                <a:ext uri="{63B3BB69-23CF-44E3-9099-C40C66FF867C}">
                  <a14:compatExt spid="_x0000_s4268"/>
                </a:ext>
                <a:ext uri="{FF2B5EF4-FFF2-40B4-BE49-F238E27FC236}">
                  <a16:creationId xmlns:a16="http://schemas.microsoft.com/office/drawing/2014/main" id="{00000000-0008-0000-0200-0000A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69" name="Check Box 173" hidden="1">
              <a:extLst>
                <a:ext uri="{63B3BB69-23CF-44E3-9099-C40C66FF867C}">
                  <a14:compatExt spid="_x0000_s4269"/>
                </a:ext>
                <a:ext uri="{FF2B5EF4-FFF2-40B4-BE49-F238E27FC236}">
                  <a16:creationId xmlns:a16="http://schemas.microsoft.com/office/drawing/2014/main" id="{00000000-0008-0000-0200-0000A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0" name="Check Box 174" hidden="1">
              <a:extLst>
                <a:ext uri="{63B3BB69-23CF-44E3-9099-C40C66FF867C}">
                  <a14:compatExt spid="_x0000_s4270"/>
                </a:ext>
                <a:ext uri="{FF2B5EF4-FFF2-40B4-BE49-F238E27FC236}">
                  <a16:creationId xmlns:a16="http://schemas.microsoft.com/office/drawing/2014/main" id="{00000000-0008-0000-0200-0000A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1" name="Check Box 175" hidden="1">
              <a:extLst>
                <a:ext uri="{63B3BB69-23CF-44E3-9099-C40C66FF867C}">
                  <a14:compatExt spid="_x0000_s4271"/>
                </a:ext>
                <a:ext uri="{FF2B5EF4-FFF2-40B4-BE49-F238E27FC236}">
                  <a16:creationId xmlns:a16="http://schemas.microsoft.com/office/drawing/2014/main" id="{00000000-0008-0000-0200-0000A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2" name="Check Box 176" hidden="1">
              <a:extLst>
                <a:ext uri="{63B3BB69-23CF-44E3-9099-C40C66FF867C}">
                  <a14:compatExt spid="_x0000_s4272"/>
                </a:ext>
                <a:ext uri="{FF2B5EF4-FFF2-40B4-BE49-F238E27FC236}">
                  <a16:creationId xmlns:a16="http://schemas.microsoft.com/office/drawing/2014/main" id="{00000000-0008-0000-0200-0000B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273" name="Check Box 177" hidden="1">
              <a:extLst>
                <a:ext uri="{63B3BB69-23CF-44E3-9099-C40C66FF867C}">
                  <a14:compatExt spid="_x0000_s4273"/>
                </a:ext>
                <a:ext uri="{FF2B5EF4-FFF2-40B4-BE49-F238E27FC236}">
                  <a16:creationId xmlns:a16="http://schemas.microsoft.com/office/drawing/2014/main" id="{00000000-0008-0000-0200-0000B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4" name="Check Box 178" hidden="1">
              <a:extLst>
                <a:ext uri="{63B3BB69-23CF-44E3-9099-C40C66FF867C}">
                  <a14:compatExt spid="_x0000_s4274"/>
                </a:ext>
                <a:ext uri="{FF2B5EF4-FFF2-40B4-BE49-F238E27FC236}">
                  <a16:creationId xmlns:a16="http://schemas.microsoft.com/office/drawing/2014/main" id="{00000000-0008-0000-0200-0000B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5" name="Check Box 179" hidden="1">
              <a:extLst>
                <a:ext uri="{63B3BB69-23CF-44E3-9099-C40C66FF867C}">
                  <a14:compatExt spid="_x0000_s4275"/>
                </a:ext>
                <a:ext uri="{FF2B5EF4-FFF2-40B4-BE49-F238E27FC236}">
                  <a16:creationId xmlns:a16="http://schemas.microsoft.com/office/drawing/2014/main" id="{00000000-0008-0000-0200-0000B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6" name="Check Box 180" hidden="1">
              <a:extLst>
                <a:ext uri="{63B3BB69-23CF-44E3-9099-C40C66FF867C}">
                  <a14:compatExt spid="_x0000_s4276"/>
                </a:ext>
                <a:ext uri="{FF2B5EF4-FFF2-40B4-BE49-F238E27FC236}">
                  <a16:creationId xmlns:a16="http://schemas.microsoft.com/office/drawing/2014/main" id="{00000000-0008-0000-0200-0000B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7" name="Check Box 181" hidden="1">
              <a:extLst>
                <a:ext uri="{63B3BB69-23CF-44E3-9099-C40C66FF867C}">
                  <a14:compatExt spid="_x0000_s4277"/>
                </a:ext>
                <a:ext uri="{FF2B5EF4-FFF2-40B4-BE49-F238E27FC236}">
                  <a16:creationId xmlns:a16="http://schemas.microsoft.com/office/drawing/2014/main" id="{00000000-0008-0000-0200-0000B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8" name="Check Box 182" hidden="1">
              <a:extLst>
                <a:ext uri="{63B3BB69-23CF-44E3-9099-C40C66FF867C}">
                  <a14:compatExt spid="_x0000_s4278"/>
                </a:ext>
                <a:ext uri="{FF2B5EF4-FFF2-40B4-BE49-F238E27FC236}">
                  <a16:creationId xmlns:a16="http://schemas.microsoft.com/office/drawing/2014/main" id="{00000000-0008-0000-0200-0000B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9" name="Check Box 183" hidden="1">
              <a:extLst>
                <a:ext uri="{63B3BB69-23CF-44E3-9099-C40C66FF867C}">
                  <a14:compatExt spid="_x0000_s4279"/>
                </a:ext>
                <a:ext uri="{FF2B5EF4-FFF2-40B4-BE49-F238E27FC236}">
                  <a16:creationId xmlns:a16="http://schemas.microsoft.com/office/drawing/2014/main" id="{00000000-0008-0000-0200-0000B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0" name="Check Box 184" hidden="1">
              <a:extLst>
                <a:ext uri="{63B3BB69-23CF-44E3-9099-C40C66FF867C}">
                  <a14:compatExt spid="_x0000_s4280"/>
                </a:ext>
                <a:ext uri="{FF2B5EF4-FFF2-40B4-BE49-F238E27FC236}">
                  <a16:creationId xmlns:a16="http://schemas.microsoft.com/office/drawing/2014/main" id="{00000000-0008-0000-0200-0000B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1" name="Check Box 185" hidden="1">
              <a:extLst>
                <a:ext uri="{63B3BB69-23CF-44E3-9099-C40C66FF867C}">
                  <a14:compatExt spid="_x0000_s4281"/>
                </a:ext>
                <a:ext uri="{FF2B5EF4-FFF2-40B4-BE49-F238E27FC236}">
                  <a16:creationId xmlns:a16="http://schemas.microsoft.com/office/drawing/2014/main" id="{00000000-0008-0000-0200-0000B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2" name="Check Box 186" hidden="1">
              <a:extLst>
                <a:ext uri="{63B3BB69-23CF-44E3-9099-C40C66FF867C}">
                  <a14:compatExt spid="_x0000_s4282"/>
                </a:ext>
                <a:ext uri="{FF2B5EF4-FFF2-40B4-BE49-F238E27FC236}">
                  <a16:creationId xmlns:a16="http://schemas.microsoft.com/office/drawing/2014/main" id="{00000000-0008-0000-0200-0000B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3" name="Check Box 187" hidden="1">
              <a:extLst>
                <a:ext uri="{63B3BB69-23CF-44E3-9099-C40C66FF867C}">
                  <a14:compatExt spid="_x0000_s4283"/>
                </a:ext>
                <a:ext uri="{FF2B5EF4-FFF2-40B4-BE49-F238E27FC236}">
                  <a16:creationId xmlns:a16="http://schemas.microsoft.com/office/drawing/2014/main" id="{00000000-0008-0000-0200-0000B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4" name="Check Box 188" hidden="1">
              <a:extLst>
                <a:ext uri="{63B3BB69-23CF-44E3-9099-C40C66FF867C}">
                  <a14:compatExt spid="_x0000_s4284"/>
                </a:ext>
                <a:ext uri="{FF2B5EF4-FFF2-40B4-BE49-F238E27FC236}">
                  <a16:creationId xmlns:a16="http://schemas.microsoft.com/office/drawing/2014/main" id="{00000000-0008-0000-0200-0000B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5" name="Check Box 189" hidden="1">
              <a:extLst>
                <a:ext uri="{63B3BB69-23CF-44E3-9099-C40C66FF867C}">
                  <a14:compatExt spid="_x0000_s4285"/>
                </a:ext>
                <a:ext uri="{FF2B5EF4-FFF2-40B4-BE49-F238E27FC236}">
                  <a16:creationId xmlns:a16="http://schemas.microsoft.com/office/drawing/2014/main" id="{00000000-0008-0000-0200-0000B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6" name="Check Box 190" hidden="1">
              <a:extLst>
                <a:ext uri="{63B3BB69-23CF-44E3-9099-C40C66FF867C}">
                  <a14:compatExt spid="_x0000_s4286"/>
                </a:ext>
                <a:ext uri="{FF2B5EF4-FFF2-40B4-BE49-F238E27FC236}">
                  <a16:creationId xmlns:a16="http://schemas.microsoft.com/office/drawing/2014/main" id="{00000000-0008-0000-0200-0000B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7" name="Check Box 191" hidden="1">
              <a:extLst>
                <a:ext uri="{63B3BB69-23CF-44E3-9099-C40C66FF867C}">
                  <a14:compatExt spid="_x0000_s4287"/>
                </a:ext>
                <a:ext uri="{FF2B5EF4-FFF2-40B4-BE49-F238E27FC236}">
                  <a16:creationId xmlns:a16="http://schemas.microsoft.com/office/drawing/2014/main" id="{00000000-0008-0000-0200-0000B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8" name="Check Box 192" hidden="1">
              <a:extLst>
                <a:ext uri="{63B3BB69-23CF-44E3-9099-C40C66FF867C}">
                  <a14:compatExt spid="_x0000_s4288"/>
                </a:ext>
                <a:ext uri="{FF2B5EF4-FFF2-40B4-BE49-F238E27FC236}">
                  <a16:creationId xmlns:a16="http://schemas.microsoft.com/office/drawing/2014/main" id="{00000000-0008-0000-0200-0000C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9" name="Check Box 193" hidden="1">
              <a:extLst>
                <a:ext uri="{63B3BB69-23CF-44E3-9099-C40C66FF867C}">
                  <a14:compatExt spid="_x0000_s4289"/>
                </a:ext>
                <a:ext uri="{FF2B5EF4-FFF2-40B4-BE49-F238E27FC236}">
                  <a16:creationId xmlns:a16="http://schemas.microsoft.com/office/drawing/2014/main" id="{00000000-0008-0000-0200-0000C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90" name="Check Box 194" hidden="1">
              <a:extLst>
                <a:ext uri="{63B3BB69-23CF-44E3-9099-C40C66FF867C}">
                  <a14:compatExt spid="_x0000_s4290"/>
                </a:ext>
                <a:ext uri="{FF2B5EF4-FFF2-40B4-BE49-F238E27FC236}">
                  <a16:creationId xmlns:a16="http://schemas.microsoft.com/office/drawing/2014/main" id="{00000000-0008-0000-0200-0000C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91" name="Check Box 195" hidden="1">
              <a:extLst>
                <a:ext uri="{63B3BB69-23CF-44E3-9099-C40C66FF867C}">
                  <a14:compatExt spid="_x0000_s4291"/>
                </a:ext>
                <a:ext uri="{FF2B5EF4-FFF2-40B4-BE49-F238E27FC236}">
                  <a16:creationId xmlns:a16="http://schemas.microsoft.com/office/drawing/2014/main" id="{00000000-0008-0000-0200-0000C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92" name="Check Box 196" hidden="1">
              <a:extLst>
                <a:ext uri="{63B3BB69-23CF-44E3-9099-C40C66FF867C}">
                  <a14:compatExt spid="_x0000_s4292"/>
                </a:ext>
                <a:ext uri="{FF2B5EF4-FFF2-40B4-BE49-F238E27FC236}">
                  <a16:creationId xmlns:a16="http://schemas.microsoft.com/office/drawing/2014/main" id="{00000000-0008-0000-0200-0000C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93" name="Check Box 197" hidden="1">
              <a:extLst>
                <a:ext uri="{63B3BB69-23CF-44E3-9099-C40C66FF867C}">
                  <a14:compatExt spid="_x0000_s4293"/>
                </a:ext>
                <a:ext uri="{FF2B5EF4-FFF2-40B4-BE49-F238E27FC236}">
                  <a16:creationId xmlns:a16="http://schemas.microsoft.com/office/drawing/2014/main" id="{00000000-0008-0000-0200-0000C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294" name="Check Box 198" hidden="1">
              <a:extLst>
                <a:ext uri="{63B3BB69-23CF-44E3-9099-C40C66FF867C}">
                  <a14:compatExt spid="_x0000_s4294"/>
                </a:ext>
                <a:ext uri="{FF2B5EF4-FFF2-40B4-BE49-F238E27FC236}">
                  <a16:creationId xmlns:a16="http://schemas.microsoft.com/office/drawing/2014/main" id="{00000000-0008-0000-0200-0000C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295" name="Check Box 199" hidden="1">
              <a:extLst>
                <a:ext uri="{63B3BB69-23CF-44E3-9099-C40C66FF867C}">
                  <a14:compatExt spid="_x0000_s4295"/>
                </a:ext>
                <a:ext uri="{FF2B5EF4-FFF2-40B4-BE49-F238E27FC236}">
                  <a16:creationId xmlns:a16="http://schemas.microsoft.com/office/drawing/2014/main" id="{00000000-0008-0000-0200-0000C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96" name="Check Box 200" hidden="1">
              <a:extLst>
                <a:ext uri="{63B3BB69-23CF-44E3-9099-C40C66FF867C}">
                  <a14:compatExt spid="_x0000_s4296"/>
                </a:ext>
                <a:ext uri="{FF2B5EF4-FFF2-40B4-BE49-F238E27FC236}">
                  <a16:creationId xmlns:a16="http://schemas.microsoft.com/office/drawing/2014/main" id="{00000000-0008-0000-0200-0000C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97" name="Check Box 201" hidden="1">
              <a:extLst>
                <a:ext uri="{63B3BB69-23CF-44E3-9099-C40C66FF867C}">
                  <a14:compatExt spid="_x0000_s4297"/>
                </a:ext>
                <a:ext uri="{FF2B5EF4-FFF2-40B4-BE49-F238E27FC236}">
                  <a16:creationId xmlns:a16="http://schemas.microsoft.com/office/drawing/2014/main" id="{00000000-0008-0000-0200-0000C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98" name="Check Box 202" hidden="1">
              <a:extLst>
                <a:ext uri="{63B3BB69-23CF-44E3-9099-C40C66FF867C}">
                  <a14:compatExt spid="_x0000_s4298"/>
                </a:ext>
                <a:ext uri="{FF2B5EF4-FFF2-40B4-BE49-F238E27FC236}">
                  <a16:creationId xmlns:a16="http://schemas.microsoft.com/office/drawing/2014/main" id="{00000000-0008-0000-0200-0000C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99" name="Check Box 203" hidden="1">
              <a:extLst>
                <a:ext uri="{63B3BB69-23CF-44E3-9099-C40C66FF867C}">
                  <a14:compatExt spid="_x0000_s4299"/>
                </a:ext>
                <a:ext uri="{FF2B5EF4-FFF2-40B4-BE49-F238E27FC236}">
                  <a16:creationId xmlns:a16="http://schemas.microsoft.com/office/drawing/2014/main" id="{00000000-0008-0000-0200-0000C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0" name="Check Box 204" hidden="1">
              <a:extLst>
                <a:ext uri="{63B3BB69-23CF-44E3-9099-C40C66FF867C}">
                  <a14:compatExt spid="_x0000_s4300"/>
                </a:ext>
                <a:ext uri="{FF2B5EF4-FFF2-40B4-BE49-F238E27FC236}">
                  <a16:creationId xmlns:a16="http://schemas.microsoft.com/office/drawing/2014/main" id="{00000000-0008-0000-0200-0000C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1" name="Check Box 205" hidden="1">
              <a:extLst>
                <a:ext uri="{63B3BB69-23CF-44E3-9099-C40C66FF867C}">
                  <a14:compatExt spid="_x0000_s4301"/>
                </a:ext>
                <a:ext uri="{FF2B5EF4-FFF2-40B4-BE49-F238E27FC236}">
                  <a16:creationId xmlns:a16="http://schemas.microsoft.com/office/drawing/2014/main" id="{00000000-0008-0000-0200-0000C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2" name="Check Box 206" hidden="1">
              <a:extLst>
                <a:ext uri="{63B3BB69-23CF-44E3-9099-C40C66FF867C}">
                  <a14:compatExt spid="_x0000_s4302"/>
                </a:ext>
                <a:ext uri="{FF2B5EF4-FFF2-40B4-BE49-F238E27FC236}">
                  <a16:creationId xmlns:a16="http://schemas.microsoft.com/office/drawing/2014/main" id="{00000000-0008-0000-0200-0000C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3" name="Check Box 207" hidden="1">
              <a:extLst>
                <a:ext uri="{63B3BB69-23CF-44E3-9099-C40C66FF867C}">
                  <a14:compatExt spid="_x0000_s4303"/>
                </a:ext>
                <a:ext uri="{FF2B5EF4-FFF2-40B4-BE49-F238E27FC236}">
                  <a16:creationId xmlns:a16="http://schemas.microsoft.com/office/drawing/2014/main" id="{00000000-0008-0000-0200-0000C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4" name="Check Box 208" hidden="1">
              <a:extLst>
                <a:ext uri="{63B3BB69-23CF-44E3-9099-C40C66FF867C}">
                  <a14:compatExt spid="_x0000_s4304"/>
                </a:ext>
                <a:ext uri="{FF2B5EF4-FFF2-40B4-BE49-F238E27FC236}">
                  <a16:creationId xmlns:a16="http://schemas.microsoft.com/office/drawing/2014/main" id="{00000000-0008-0000-0200-0000D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05" name="Check Box 209" hidden="1">
              <a:extLst>
                <a:ext uri="{63B3BB69-23CF-44E3-9099-C40C66FF867C}">
                  <a14:compatExt spid="_x0000_s4305"/>
                </a:ext>
                <a:ext uri="{FF2B5EF4-FFF2-40B4-BE49-F238E27FC236}">
                  <a16:creationId xmlns:a16="http://schemas.microsoft.com/office/drawing/2014/main" id="{00000000-0008-0000-0200-0000D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6" name="Check Box 210" hidden="1">
              <a:extLst>
                <a:ext uri="{63B3BB69-23CF-44E3-9099-C40C66FF867C}">
                  <a14:compatExt spid="_x0000_s4306"/>
                </a:ext>
                <a:ext uri="{FF2B5EF4-FFF2-40B4-BE49-F238E27FC236}">
                  <a16:creationId xmlns:a16="http://schemas.microsoft.com/office/drawing/2014/main" id="{00000000-0008-0000-0200-0000D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7" name="Check Box 211" hidden="1">
              <a:extLst>
                <a:ext uri="{63B3BB69-23CF-44E3-9099-C40C66FF867C}">
                  <a14:compatExt spid="_x0000_s4307"/>
                </a:ext>
                <a:ext uri="{FF2B5EF4-FFF2-40B4-BE49-F238E27FC236}">
                  <a16:creationId xmlns:a16="http://schemas.microsoft.com/office/drawing/2014/main" id="{00000000-0008-0000-0200-0000D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8" name="Check Box 212" hidden="1">
              <a:extLst>
                <a:ext uri="{63B3BB69-23CF-44E3-9099-C40C66FF867C}">
                  <a14:compatExt spid="_x0000_s4308"/>
                </a:ext>
                <a:ext uri="{FF2B5EF4-FFF2-40B4-BE49-F238E27FC236}">
                  <a16:creationId xmlns:a16="http://schemas.microsoft.com/office/drawing/2014/main" id="{00000000-0008-0000-0200-0000D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9" name="Check Box 213" hidden="1">
              <a:extLst>
                <a:ext uri="{63B3BB69-23CF-44E3-9099-C40C66FF867C}">
                  <a14:compatExt spid="_x0000_s4309"/>
                </a:ext>
                <a:ext uri="{FF2B5EF4-FFF2-40B4-BE49-F238E27FC236}">
                  <a16:creationId xmlns:a16="http://schemas.microsoft.com/office/drawing/2014/main" id="{00000000-0008-0000-0200-0000D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0" name="Check Box 214" hidden="1">
              <a:extLst>
                <a:ext uri="{63B3BB69-23CF-44E3-9099-C40C66FF867C}">
                  <a14:compatExt spid="_x0000_s4310"/>
                </a:ext>
                <a:ext uri="{FF2B5EF4-FFF2-40B4-BE49-F238E27FC236}">
                  <a16:creationId xmlns:a16="http://schemas.microsoft.com/office/drawing/2014/main" id="{00000000-0008-0000-0200-0000D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1" name="Check Box 215" hidden="1">
              <a:extLst>
                <a:ext uri="{63B3BB69-23CF-44E3-9099-C40C66FF867C}">
                  <a14:compatExt spid="_x0000_s4311"/>
                </a:ext>
                <a:ext uri="{FF2B5EF4-FFF2-40B4-BE49-F238E27FC236}">
                  <a16:creationId xmlns:a16="http://schemas.microsoft.com/office/drawing/2014/main" id="{00000000-0008-0000-0200-0000D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2" name="Check Box 216" hidden="1">
              <a:extLst>
                <a:ext uri="{63B3BB69-23CF-44E3-9099-C40C66FF867C}">
                  <a14:compatExt spid="_x0000_s4312"/>
                </a:ext>
                <a:ext uri="{FF2B5EF4-FFF2-40B4-BE49-F238E27FC236}">
                  <a16:creationId xmlns:a16="http://schemas.microsoft.com/office/drawing/2014/main" id="{00000000-0008-0000-0200-0000D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3" name="Check Box 217" hidden="1">
              <a:extLst>
                <a:ext uri="{63B3BB69-23CF-44E3-9099-C40C66FF867C}">
                  <a14:compatExt spid="_x0000_s4313"/>
                </a:ext>
                <a:ext uri="{FF2B5EF4-FFF2-40B4-BE49-F238E27FC236}">
                  <a16:creationId xmlns:a16="http://schemas.microsoft.com/office/drawing/2014/main" id="{00000000-0008-0000-0200-0000D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4" name="Check Box 218" hidden="1">
              <a:extLst>
                <a:ext uri="{63B3BB69-23CF-44E3-9099-C40C66FF867C}">
                  <a14:compatExt spid="_x0000_s4314"/>
                </a:ext>
                <a:ext uri="{FF2B5EF4-FFF2-40B4-BE49-F238E27FC236}">
                  <a16:creationId xmlns:a16="http://schemas.microsoft.com/office/drawing/2014/main" id="{00000000-0008-0000-0200-0000D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5" name="Check Box 219" hidden="1">
              <a:extLst>
                <a:ext uri="{63B3BB69-23CF-44E3-9099-C40C66FF867C}">
                  <a14:compatExt spid="_x0000_s4315"/>
                </a:ext>
                <a:ext uri="{FF2B5EF4-FFF2-40B4-BE49-F238E27FC236}">
                  <a16:creationId xmlns:a16="http://schemas.microsoft.com/office/drawing/2014/main" id="{00000000-0008-0000-0200-0000D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6" name="Check Box 220" hidden="1">
              <a:extLst>
                <a:ext uri="{63B3BB69-23CF-44E3-9099-C40C66FF867C}">
                  <a14:compatExt spid="_x0000_s4316"/>
                </a:ext>
                <a:ext uri="{FF2B5EF4-FFF2-40B4-BE49-F238E27FC236}">
                  <a16:creationId xmlns:a16="http://schemas.microsoft.com/office/drawing/2014/main" id="{00000000-0008-0000-0200-0000D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7" name="Check Box 221" hidden="1">
              <a:extLst>
                <a:ext uri="{63B3BB69-23CF-44E3-9099-C40C66FF867C}">
                  <a14:compatExt spid="_x0000_s4317"/>
                </a:ext>
                <a:ext uri="{FF2B5EF4-FFF2-40B4-BE49-F238E27FC236}">
                  <a16:creationId xmlns:a16="http://schemas.microsoft.com/office/drawing/2014/main" id="{00000000-0008-0000-0200-0000D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8" name="Check Box 222" hidden="1">
              <a:extLst>
                <a:ext uri="{63B3BB69-23CF-44E3-9099-C40C66FF867C}">
                  <a14:compatExt spid="_x0000_s4318"/>
                </a:ext>
                <a:ext uri="{FF2B5EF4-FFF2-40B4-BE49-F238E27FC236}">
                  <a16:creationId xmlns:a16="http://schemas.microsoft.com/office/drawing/2014/main" id="{00000000-0008-0000-0200-0000D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9" name="Check Box 223" hidden="1">
              <a:extLst>
                <a:ext uri="{63B3BB69-23CF-44E3-9099-C40C66FF867C}">
                  <a14:compatExt spid="_x0000_s4319"/>
                </a:ext>
                <a:ext uri="{FF2B5EF4-FFF2-40B4-BE49-F238E27FC236}">
                  <a16:creationId xmlns:a16="http://schemas.microsoft.com/office/drawing/2014/main" id="{00000000-0008-0000-0200-0000D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20" name="Check Box 224" hidden="1">
              <a:extLst>
                <a:ext uri="{63B3BB69-23CF-44E3-9099-C40C66FF867C}">
                  <a14:compatExt spid="_x0000_s4320"/>
                </a:ext>
                <a:ext uri="{FF2B5EF4-FFF2-40B4-BE49-F238E27FC236}">
                  <a16:creationId xmlns:a16="http://schemas.microsoft.com/office/drawing/2014/main" id="{00000000-0008-0000-0200-0000E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321" name="Check Box 225" hidden="1">
              <a:extLst>
                <a:ext uri="{63B3BB69-23CF-44E3-9099-C40C66FF867C}">
                  <a14:compatExt spid="_x0000_s4321"/>
                </a:ext>
                <a:ext uri="{FF2B5EF4-FFF2-40B4-BE49-F238E27FC236}">
                  <a16:creationId xmlns:a16="http://schemas.microsoft.com/office/drawing/2014/main" id="{00000000-0008-0000-0200-0000E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322" name="Check Box 226" hidden="1">
              <a:extLst>
                <a:ext uri="{63B3BB69-23CF-44E3-9099-C40C66FF867C}">
                  <a14:compatExt spid="_x0000_s4322"/>
                </a:ext>
                <a:ext uri="{FF2B5EF4-FFF2-40B4-BE49-F238E27FC236}">
                  <a16:creationId xmlns:a16="http://schemas.microsoft.com/office/drawing/2014/main" id="{00000000-0008-0000-0200-0000E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23" name="Check Box 227" hidden="1">
              <a:extLst>
                <a:ext uri="{63B3BB69-23CF-44E3-9099-C40C66FF867C}">
                  <a14:compatExt spid="_x0000_s4323"/>
                </a:ext>
                <a:ext uri="{FF2B5EF4-FFF2-40B4-BE49-F238E27FC236}">
                  <a16:creationId xmlns:a16="http://schemas.microsoft.com/office/drawing/2014/main" id="{00000000-0008-0000-0200-0000E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24" name="Check Box 228" hidden="1">
              <a:extLst>
                <a:ext uri="{63B3BB69-23CF-44E3-9099-C40C66FF867C}">
                  <a14:compatExt spid="_x0000_s4324"/>
                </a:ext>
                <a:ext uri="{FF2B5EF4-FFF2-40B4-BE49-F238E27FC236}">
                  <a16:creationId xmlns:a16="http://schemas.microsoft.com/office/drawing/2014/main" id="{00000000-0008-0000-0200-0000E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25" name="Check Box 229" hidden="1">
              <a:extLst>
                <a:ext uri="{63B3BB69-23CF-44E3-9099-C40C66FF867C}">
                  <a14:compatExt spid="_x0000_s4325"/>
                </a:ext>
                <a:ext uri="{FF2B5EF4-FFF2-40B4-BE49-F238E27FC236}">
                  <a16:creationId xmlns:a16="http://schemas.microsoft.com/office/drawing/2014/main" id="{00000000-0008-0000-0200-0000E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26" name="Check Box 230" hidden="1">
              <a:extLst>
                <a:ext uri="{63B3BB69-23CF-44E3-9099-C40C66FF867C}">
                  <a14:compatExt spid="_x0000_s4326"/>
                </a:ext>
                <a:ext uri="{FF2B5EF4-FFF2-40B4-BE49-F238E27FC236}">
                  <a16:creationId xmlns:a16="http://schemas.microsoft.com/office/drawing/2014/main" id="{00000000-0008-0000-0200-0000E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27" name="Check Box 231" hidden="1">
              <a:extLst>
                <a:ext uri="{63B3BB69-23CF-44E3-9099-C40C66FF867C}">
                  <a14:compatExt spid="_x0000_s4327"/>
                </a:ext>
                <a:ext uri="{FF2B5EF4-FFF2-40B4-BE49-F238E27FC236}">
                  <a16:creationId xmlns:a16="http://schemas.microsoft.com/office/drawing/2014/main" id="{00000000-0008-0000-0200-0000E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28" name="Check Box 232" hidden="1">
              <a:extLst>
                <a:ext uri="{63B3BB69-23CF-44E3-9099-C40C66FF867C}">
                  <a14:compatExt spid="_x0000_s4328"/>
                </a:ext>
                <a:ext uri="{FF2B5EF4-FFF2-40B4-BE49-F238E27FC236}">
                  <a16:creationId xmlns:a16="http://schemas.microsoft.com/office/drawing/2014/main" id="{00000000-0008-0000-0200-0000E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29" name="Check Box 233" hidden="1">
              <a:extLst>
                <a:ext uri="{63B3BB69-23CF-44E3-9099-C40C66FF867C}">
                  <a14:compatExt spid="_x0000_s4329"/>
                </a:ext>
                <a:ext uri="{FF2B5EF4-FFF2-40B4-BE49-F238E27FC236}">
                  <a16:creationId xmlns:a16="http://schemas.microsoft.com/office/drawing/2014/main" id="{00000000-0008-0000-0200-0000E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0" name="Check Box 234" hidden="1">
              <a:extLst>
                <a:ext uri="{63B3BB69-23CF-44E3-9099-C40C66FF867C}">
                  <a14:compatExt spid="_x0000_s4330"/>
                </a:ext>
                <a:ext uri="{FF2B5EF4-FFF2-40B4-BE49-F238E27FC236}">
                  <a16:creationId xmlns:a16="http://schemas.microsoft.com/office/drawing/2014/main" id="{00000000-0008-0000-0200-0000E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31" name="Check Box 235" hidden="1">
              <a:extLst>
                <a:ext uri="{63B3BB69-23CF-44E3-9099-C40C66FF867C}">
                  <a14:compatExt spid="_x0000_s4331"/>
                </a:ext>
                <a:ext uri="{FF2B5EF4-FFF2-40B4-BE49-F238E27FC236}">
                  <a16:creationId xmlns:a16="http://schemas.microsoft.com/office/drawing/2014/main" id="{00000000-0008-0000-0200-0000E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2" name="Check Box 236" hidden="1">
              <a:extLst>
                <a:ext uri="{63B3BB69-23CF-44E3-9099-C40C66FF867C}">
                  <a14:compatExt spid="_x0000_s4332"/>
                </a:ext>
                <a:ext uri="{FF2B5EF4-FFF2-40B4-BE49-F238E27FC236}">
                  <a16:creationId xmlns:a16="http://schemas.microsoft.com/office/drawing/2014/main" id="{00000000-0008-0000-0200-0000E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3" name="Check Box 237" hidden="1">
              <a:extLst>
                <a:ext uri="{63B3BB69-23CF-44E3-9099-C40C66FF867C}">
                  <a14:compatExt spid="_x0000_s4333"/>
                </a:ext>
                <a:ext uri="{FF2B5EF4-FFF2-40B4-BE49-F238E27FC236}">
                  <a16:creationId xmlns:a16="http://schemas.microsoft.com/office/drawing/2014/main" id="{00000000-0008-0000-0200-0000E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4" name="Check Box 238" hidden="1">
              <a:extLst>
                <a:ext uri="{63B3BB69-23CF-44E3-9099-C40C66FF867C}">
                  <a14:compatExt spid="_x0000_s4334"/>
                </a:ext>
                <a:ext uri="{FF2B5EF4-FFF2-40B4-BE49-F238E27FC236}">
                  <a16:creationId xmlns:a16="http://schemas.microsoft.com/office/drawing/2014/main" id="{00000000-0008-0000-0200-0000E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5" name="Check Box 239" hidden="1">
              <a:extLst>
                <a:ext uri="{63B3BB69-23CF-44E3-9099-C40C66FF867C}">
                  <a14:compatExt spid="_x0000_s4335"/>
                </a:ext>
                <a:ext uri="{FF2B5EF4-FFF2-40B4-BE49-F238E27FC236}">
                  <a16:creationId xmlns:a16="http://schemas.microsoft.com/office/drawing/2014/main" id="{00000000-0008-0000-0200-0000E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6" name="Check Box 240" hidden="1">
              <a:extLst>
                <a:ext uri="{63B3BB69-23CF-44E3-9099-C40C66FF867C}">
                  <a14:compatExt spid="_x0000_s4336"/>
                </a:ext>
                <a:ext uri="{FF2B5EF4-FFF2-40B4-BE49-F238E27FC236}">
                  <a16:creationId xmlns:a16="http://schemas.microsoft.com/office/drawing/2014/main" id="{00000000-0008-0000-0200-0000F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7" name="Check Box 241" hidden="1">
              <a:extLst>
                <a:ext uri="{63B3BB69-23CF-44E3-9099-C40C66FF867C}">
                  <a14:compatExt spid="_x0000_s4337"/>
                </a:ext>
                <a:ext uri="{FF2B5EF4-FFF2-40B4-BE49-F238E27FC236}">
                  <a16:creationId xmlns:a16="http://schemas.microsoft.com/office/drawing/2014/main" id="{00000000-0008-0000-0200-0000F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8" name="Check Box 242" hidden="1">
              <a:extLst>
                <a:ext uri="{63B3BB69-23CF-44E3-9099-C40C66FF867C}">
                  <a14:compatExt spid="_x0000_s4338"/>
                </a:ext>
                <a:ext uri="{FF2B5EF4-FFF2-40B4-BE49-F238E27FC236}">
                  <a16:creationId xmlns:a16="http://schemas.microsoft.com/office/drawing/2014/main" id="{00000000-0008-0000-0200-0000F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9" name="Check Box 243" hidden="1">
              <a:extLst>
                <a:ext uri="{63B3BB69-23CF-44E3-9099-C40C66FF867C}">
                  <a14:compatExt spid="_x0000_s4339"/>
                </a:ext>
                <a:ext uri="{FF2B5EF4-FFF2-40B4-BE49-F238E27FC236}">
                  <a16:creationId xmlns:a16="http://schemas.microsoft.com/office/drawing/2014/main" id="{00000000-0008-0000-0200-0000F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40" name="Check Box 244" hidden="1">
              <a:extLst>
                <a:ext uri="{63B3BB69-23CF-44E3-9099-C40C66FF867C}">
                  <a14:compatExt spid="_x0000_s4340"/>
                </a:ext>
                <a:ext uri="{FF2B5EF4-FFF2-40B4-BE49-F238E27FC236}">
                  <a16:creationId xmlns:a16="http://schemas.microsoft.com/office/drawing/2014/main" id="{00000000-0008-0000-0200-0000F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341" name="Check Box 245" hidden="1">
              <a:extLst>
                <a:ext uri="{63B3BB69-23CF-44E3-9099-C40C66FF867C}">
                  <a14:compatExt spid="_x0000_s4341"/>
                </a:ext>
                <a:ext uri="{FF2B5EF4-FFF2-40B4-BE49-F238E27FC236}">
                  <a16:creationId xmlns:a16="http://schemas.microsoft.com/office/drawing/2014/main" id="{00000000-0008-0000-0200-0000F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342" name="Check Box 246" hidden="1">
              <a:extLst>
                <a:ext uri="{63B3BB69-23CF-44E3-9099-C40C66FF867C}">
                  <a14:compatExt spid="_x0000_s4342"/>
                </a:ext>
                <a:ext uri="{FF2B5EF4-FFF2-40B4-BE49-F238E27FC236}">
                  <a16:creationId xmlns:a16="http://schemas.microsoft.com/office/drawing/2014/main" id="{00000000-0008-0000-0200-0000F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343" name="Check Box 247" hidden="1">
              <a:extLst>
                <a:ext uri="{63B3BB69-23CF-44E3-9099-C40C66FF867C}">
                  <a14:compatExt spid="_x0000_s4343"/>
                </a:ext>
                <a:ext uri="{FF2B5EF4-FFF2-40B4-BE49-F238E27FC236}">
                  <a16:creationId xmlns:a16="http://schemas.microsoft.com/office/drawing/2014/main" id="{00000000-0008-0000-0200-0000F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44" name="Check Box 248" hidden="1">
              <a:extLst>
                <a:ext uri="{63B3BB69-23CF-44E3-9099-C40C66FF867C}">
                  <a14:compatExt spid="_x0000_s4344"/>
                </a:ext>
                <a:ext uri="{FF2B5EF4-FFF2-40B4-BE49-F238E27FC236}">
                  <a16:creationId xmlns:a16="http://schemas.microsoft.com/office/drawing/2014/main" id="{00000000-0008-0000-0200-0000F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45" name="Check Box 249" hidden="1">
              <a:extLst>
                <a:ext uri="{63B3BB69-23CF-44E3-9099-C40C66FF867C}">
                  <a14:compatExt spid="_x0000_s4345"/>
                </a:ext>
                <a:ext uri="{FF2B5EF4-FFF2-40B4-BE49-F238E27FC236}">
                  <a16:creationId xmlns:a16="http://schemas.microsoft.com/office/drawing/2014/main" id="{00000000-0008-0000-0200-0000F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46" name="Check Box 250" hidden="1">
              <a:extLst>
                <a:ext uri="{63B3BB69-23CF-44E3-9099-C40C66FF867C}">
                  <a14:compatExt spid="_x0000_s4346"/>
                </a:ext>
                <a:ext uri="{FF2B5EF4-FFF2-40B4-BE49-F238E27FC236}">
                  <a16:creationId xmlns:a16="http://schemas.microsoft.com/office/drawing/2014/main" id="{00000000-0008-0000-0200-0000F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47" name="Check Box 251" hidden="1">
              <a:extLst>
                <a:ext uri="{63B3BB69-23CF-44E3-9099-C40C66FF867C}">
                  <a14:compatExt spid="_x0000_s4347"/>
                </a:ext>
                <a:ext uri="{FF2B5EF4-FFF2-40B4-BE49-F238E27FC236}">
                  <a16:creationId xmlns:a16="http://schemas.microsoft.com/office/drawing/2014/main" id="{00000000-0008-0000-0200-0000F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48" name="Check Box 252" hidden="1">
              <a:extLst>
                <a:ext uri="{63B3BB69-23CF-44E3-9099-C40C66FF867C}">
                  <a14:compatExt spid="_x0000_s4348"/>
                </a:ext>
                <a:ext uri="{FF2B5EF4-FFF2-40B4-BE49-F238E27FC236}">
                  <a16:creationId xmlns:a16="http://schemas.microsoft.com/office/drawing/2014/main" id="{00000000-0008-0000-0200-0000F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49" name="Check Box 253" hidden="1">
              <a:extLst>
                <a:ext uri="{63B3BB69-23CF-44E3-9099-C40C66FF867C}">
                  <a14:compatExt spid="_x0000_s4349"/>
                </a:ext>
                <a:ext uri="{FF2B5EF4-FFF2-40B4-BE49-F238E27FC236}">
                  <a16:creationId xmlns:a16="http://schemas.microsoft.com/office/drawing/2014/main" id="{00000000-0008-0000-0200-0000F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0" name="Check Box 254" hidden="1">
              <a:extLst>
                <a:ext uri="{63B3BB69-23CF-44E3-9099-C40C66FF867C}">
                  <a14:compatExt spid="_x0000_s4350"/>
                </a:ext>
                <a:ext uri="{FF2B5EF4-FFF2-40B4-BE49-F238E27FC236}">
                  <a16:creationId xmlns:a16="http://schemas.microsoft.com/office/drawing/2014/main" id="{00000000-0008-0000-0200-0000F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1" name="Check Box 255" hidden="1">
              <a:extLst>
                <a:ext uri="{63B3BB69-23CF-44E3-9099-C40C66FF867C}">
                  <a14:compatExt spid="_x0000_s4351"/>
                </a:ext>
                <a:ext uri="{FF2B5EF4-FFF2-40B4-BE49-F238E27FC236}">
                  <a16:creationId xmlns:a16="http://schemas.microsoft.com/office/drawing/2014/main" id="{00000000-0008-0000-0200-0000F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2" name="Check Box 256" hidden="1">
              <a:extLst>
                <a:ext uri="{63B3BB69-23CF-44E3-9099-C40C66FF867C}">
                  <a14:compatExt spid="_x0000_s4352"/>
                </a:ext>
                <a:ext uri="{FF2B5EF4-FFF2-40B4-BE49-F238E27FC236}">
                  <a16:creationId xmlns:a16="http://schemas.microsoft.com/office/drawing/2014/main" id="{00000000-0008-0000-0200-00000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3" name="Check Box 257" hidden="1">
              <a:extLst>
                <a:ext uri="{63B3BB69-23CF-44E3-9099-C40C66FF867C}">
                  <a14:compatExt spid="_x0000_s4353"/>
                </a:ext>
                <a:ext uri="{FF2B5EF4-FFF2-40B4-BE49-F238E27FC236}">
                  <a16:creationId xmlns:a16="http://schemas.microsoft.com/office/drawing/2014/main" id="{00000000-0008-0000-0200-00000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4" name="Check Box 258" hidden="1">
              <a:extLst>
                <a:ext uri="{63B3BB69-23CF-44E3-9099-C40C66FF867C}">
                  <a14:compatExt spid="_x0000_s4354"/>
                </a:ext>
                <a:ext uri="{FF2B5EF4-FFF2-40B4-BE49-F238E27FC236}">
                  <a16:creationId xmlns:a16="http://schemas.microsoft.com/office/drawing/2014/main" id="{00000000-0008-0000-0200-00000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5" name="Check Box 259" hidden="1">
              <a:extLst>
                <a:ext uri="{63B3BB69-23CF-44E3-9099-C40C66FF867C}">
                  <a14:compatExt spid="_x0000_s4355"/>
                </a:ext>
                <a:ext uri="{FF2B5EF4-FFF2-40B4-BE49-F238E27FC236}">
                  <a16:creationId xmlns:a16="http://schemas.microsoft.com/office/drawing/2014/main" id="{00000000-0008-0000-0200-00000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6" name="Check Box 260" hidden="1">
              <a:extLst>
                <a:ext uri="{63B3BB69-23CF-44E3-9099-C40C66FF867C}">
                  <a14:compatExt spid="_x0000_s4356"/>
                </a:ext>
                <a:ext uri="{FF2B5EF4-FFF2-40B4-BE49-F238E27FC236}">
                  <a16:creationId xmlns:a16="http://schemas.microsoft.com/office/drawing/2014/main" id="{00000000-0008-0000-0200-00000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7" name="Check Box 261" hidden="1">
              <a:extLst>
                <a:ext uri="{63B3BB69-23CF-44E3-9099-C40C66FF867C}">
                  <a14:compatExt spid="_x0000_s4357"/>
                </a:ext>
                <a:ext uri="{FF2B5EF4-FFF2-40B4-BE49-F238E27FC236}">
                  <a16:creationId xmlns:a16="http://schemas.microsoft.com/office/drawing/2014/main" id="{00000000-0008-0000-0200-00000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8" name="Check Box 262" hidden="1">
              <a:extLst>
                <a:ext uri="{63B3BB69-23CF-44E3-9099-C40C66FF867C}">
                  <a14:compatExt spid="_x0000_s4358"/>
                </a:ext>
                <a:ext uri="{FF2B5EF4-FFF2-40B4-BE49-F238E27FC236}">
                  <a16:creationId xmlns:a16="http://schemas.microsoft.com/office/drawing/2014/main" id="{00000000-0008-0000-0200-00000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9" name="Check Box 263" hidden="1">
              <a:extLst>
                <a:ext uri="{63B3BB69-23CF-44E3-9099-C40C66FF867C}">
                  <a14:compatExt spid="_x0000_s4359"/>
                </a:ext>
                <a:ext uri="{FF2B5EF4-FFF2-40B4-BE49-F238E27FC236}">
                  <a16:creationId xmlns:a16="http://schemas.microsoft.com/office/drawing/2014/main" id="{00000000-0008-0000-0200-00000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0" name="Check Box 264" hidden="1">
              <a:extLst>
                <a:ext uri="{63B3BB69-23CF-44E3-9099-C40C66FF867C}">
                  <a14:compatExt spid="_x0000_s4360"/>
                </a:ext>
                <a:ext uri="{FF2B5EF4-FFF2-40B4-BE49-F238E27FC236}">
                  <a16:creationId xmlns:a16="http://schemas.microsoft.com/office/drawing/2014/main" id="{00000000-0008-0000-0200-00000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1" name="Check Box 265" hidden="1">
              <a:extLst>
                <a:ext uri="{63B3BB69-23CF-44E3-9099-C40C66FF867C}">
                  <a14:compatExt spid="_x0000_s4361"/>
                </a:ext>
                <a:ext uri="{FF2B5EF4-FFF2-40B4-BE49-F238E27FC236}">
                  <a16:creationId xmlns:a16="http://schemas.microsoft.com/office/drawing/2014/main" id="{00000000-0008-0000-0200-00000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2" name="Check Box 266" hidden="1">
              <a:extLst>
                <a:ext uri="{63B3BB69-23CF-44E3-9099-C40C66FF867C}">
                  <a14:compatExt spid="_x0000_s4362"/>
                </a:ext>
                <a:ext uri="{FF2B5EF4-FFF2-40B4-BE49-F238E27FC236}">
                  <a16:creationId xmlns:a16="http://schemas.microsoft.com/office/drawing/2014/main" id="{00000000-0008-0000-0200-00000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3" name="Check Box 267" hidden="1">
              <a:extLst>
                <a:ext uri="{63B3BB69-23CF-44E3-9099-C40C66FF867C}">
                  <a14:compatExt spid="_x0000_s4363"/>
                </a:ext>
                <a:ext uri="{FF2B5EF4-FFF2-40B4-BE49-F238E27FC236}">
                  <a16:creationId xmlns:a16="http://schemas.microsoft.com/office/drawing/2014/main" id="{00000000-0008-0000-0200-00000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4" name="Check Box 268" hidden="1">
              <a:extLst>
                <a:ext uri="{63B3BB69-23CF-44E3-9099-C40C66FF867C}">
                  <a14:compatExt spid="_x0000_s4364"/>
                </a:ext>
                <a:ext uri="{FF2B5EF4-FFF2-40B4-BE49-F238E27FC236}">
                  <a16:creationId xmlns:a16="http://schemas.microsoft.com/office/drawing/2014/main" id="{00000000-0008-0000-0200-00000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5" name="Check Box 269" hidden="1">
              <a:extLst>
                <a:ext uri="{63B3BB69-23CF-44E3-9099-C40C66FF867C}">
                  <a14:compatExt spid="_x0000_s4365"/>
                </a:ext>
                <a:ext uri="{FF2B5EF4-FFF2-40B4-BE49-F238E27FC236}">
                  <a16:creationId xmlns:a16="http://schemas.microsoft.com/office/drawing/2014/main" id="{00000000-0008-0000-0200-00000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6" name="Check Box 270" hidden="1">
              <a:extLst>
                <a:ext uri="{63B3BB69-23CF-44E3-9099-C40C66FF867C}">
                  <a14:compatExt spid="_x0000_s4366"/>
                </a:ext>
                <a:ext uri="{FF2B5EF4-FFF2-40B4-BE49-F238E27FC236}">
                  <a16:creationId xmlns:a16="http://schemas.microsoft.com/office/drawing/2014/main" id="{00000000-0008-0000-0200-00000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7" name="Check Box 271" hidden="1">
              <a:extLst>
                <a:ext uri="{63B3BB69-23CF-44E3-9099-C40C66FF867C}">
                  <a14:compatExt spid="_x0000_s4367"/>
                </a:ext>
                <a:ext uri="{FF2B5EF4-FFF2-40B4-BE49-F238E27FC236}">
                  <a16:creationId xmlns:a16="http://schemas.microsoft.com/office/drawing/2014/main" id="{00000000-0008-0000-0200-00000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8" name="Check Box 272" hidden="1">
              <a:extLst>
                <a:ext uri="{63B3BB69-23CF-44E3-9099-C40C66FF867C}">
                  <a14:compatExt spid="_x0000_s4368"/>
                </a:ext>
                <a:ext uri="{FF2B5EF4-FFF2-40B4-BE49-F238E27FC236}">
                  <a16:creationId xmlns:a16="http://schemas.microsoft.com/office/drawing/2014/main" id="{00000000-0008-0000-0200-00001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69" name="Check Box 273" hidden="1">
              <a:extLst>
                <a:ext uri="{63B3BB69-23CF-44E3-9099-C40C66FF867C}">
                  <a14:compatExt spid="_x0000_s4369"/>
                </a:ext>
                <a:ext uri="{FF2B5EF4-FFF2-40B4-BE49-F238E27FC236}">
                  <a16:creationId xmlns:a16="http://schemas.microsoft.com/office/drawing/2014/main" id="{00000000-0008-0000-0200-00001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70" name="Check Box 274" hidden="1">
              <a:extLst>
                <a:ext uri="{63B3BB69-23CF-44E3-9099-C40C66FF867C}">
                  <a14:compatExt spid="_x0000_s4370"/>
                </a:ext>
                <a:ext uri="{FF2B5EF4-FFF2-40B4-BE49-F238E27FC236}">
                  <a16:creationId xmlns:a16="http://schemas.microsoft.com/office/drawing/2014/main" id="{00000000-0008-0000-0200-00001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71" name="Check Box 275" hidden="1">
              <a:extLst>
                <a:ext uri="{63B3BB69-23CF-44E3-9099-C40C66FF867C}">
                  <a14:compatExt spid="_x0000_s4371"/>
                </a:ext>
                <a:ext uri="{FF2B5EF4-FFF2-40B4-BE49-F238E27FC236}">
                  <a16:creationId xmlns:a16="http://schemas.microsoft.com/office/drawing/2014/main" id="{00000000-0008-0000-0200-00001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72" name="Check Box 276" hidden="1">
              <a:extLst>
                <a:ext uri="{63B3BB69-23CF-44E3-9099-C40C66FF867C}">
                  <a14:compatExt spid="_x0000_s4372"/>
                </a:ext>
                <a:ext uri="{FF2B5EF4-FFF2-40B4-BE49-F238E27FC236}">
                  <a16:creationId xmlns:a16="http://schemas.microsoft.com/office/drawing/2014/main" id="{00000000-0008-0000-0200-00001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73" name="Check Box 277" hidden="1">
              <a:extLst>
                <a:ext uri="{63B3BB69-23CF-44E3-9099-C40C66FF867C}">
                  <a14:compatExt spid="_x0000_s4373"/>
                </a:ext>
                <a:ext uri="{FF2B5EF4-FFF2-40B4-BE49-F238E27FC236}">
                  <a16:creationId xmlns:a16="http://schemas.microsoft.com/office/drawing/2014/main" id="{00000000-0008-0000-0200-00001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74" name="Check Box 278" hidden="1">
              <a:extLst>
                <a:ext uri="{63B3BB69-23CF-44E3-9099-C40C66FF867C}">
                  <a14:compatExt spid="_x0000_s4374"/>
                </a:ext>
                <a:ext uri="{FF2B5EF4-FFF2-40B4-BE49-F238E27FC236}">
                  <a16:creationId xmlns:a16="http://schemas.microsoft.com/office/drawing/2014/main" id="{00000000-0008-0000-0200-00001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75" name="Check Box 279" hidden="1">
              <a:extLst>
                <a:ext uri="{63B3BB69-23CF-44E3-9099-C40C66FF867C}">
                  <a14:compatExt spid="_x0000_s4375"/>
                </a:ext>
                <a:ext uri="{FF2B5EF4-FFF2-40B4-BE49-F238E27FC236}">
                  <a16:creationId xmlns:a16="http://schemas.microsoft.com/office/drawing/2014/main" id="{00000000-0008-0000-0200-00001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76" name="Check Box 280" hidden="1">
              <a:extLst>
                <a:ext uri="{63B3BB69-23CF-44E3-9099-C40C66FF867C}">
                  <a14:compatExt spid="_x0000_s4376"/>
                </a:ext>
                <a:ext uri="{FF2B5EF4-FFF2-40B4-BE49-F238E27FC236}">
                  <a16:creationId xmlns:a16="http://schemas.microsoft.com/office/drawing/2014/main" id="{00000000-0008-0000-0200-00001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77" name="Check Box 281" hidden="1">
              <a:extLst>
                <a:ext uri="{63B3BB69-23CF-44E3-9099-C40C66FF867C}">
                  <a14:compatExt spid="_x0000_s4377"/>
                </a:ext>
                <a:ext uri="{FF2B5EF4-FFF2-40B4-BE49-F238E27FC236}">
                  <a16:creationId xmlns:a16="http://schemas.microsoft.com/office/drawing/2014/main" id="{00000000-0008-0000-0200-00001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78" name="Check Box 282" hidden="1">
              <a:extLst>
                <a:ext uri="{63B3BB69-23CF-44E3-9099-C40C66FF867C}">
                  <a14:compatExt spid="_x0000_s4378"/>
                </a:ext>
                <a:ext uri="{FF2B5EF4-FFF2-40B4-BE49-F238E27FC236}">
                  <a16:creationId xmlns:a16="http://schemas.microsoft.com/office/drawing/2014/main" id="{00000000-0008-0000-0200-00001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79" name="Check Box 283" hidden="1">
              <a:extLst>
                <a:ext uri="{63B3BB69-23CF-44E3-9099-C40C66FF867C}">
                  <a14:compatExt spid="_x0000_s4379"/>
                </a:ext>
                <a:ext uri="{FF2B5EF4-FFF2-40B4-BE49-F238E27FC236}">
                  <a16:creationId xmlns:a16="http://schemas.microsoft.com/office/drawing/2014/main" id="{00000000-0008-0000-0200-00001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80" name="Check Box 284" hidden="1">
              <a:extLst>
                <a:ext uri="{63B3BB69-23CF-44E3-9099-C40C66FF867C}">
                  <a14:compatExt spid="_x0000_s4380"/>
                </a:ext>
                <a:ext uri="{FF2B5EF4-FFF2-40B4-BE49-F238E27FC236}">
                  <a16:creationId xmlns:a16="http://schemas.microsoft.com/office/drawing/2014/main" id="{00000000-0008-0000-0200-00001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81" name="Check Box 285" hidden="1">
              <a:extLst>
                <a:ext uri="{63B3BB69-23CF-44E3-9099-C40C66FF867C}">
                  <a14:compatExt spid="_x0000_s4381"/>
                </a:ext>
                <a:ext uri="{FF2B5EF4-FFF2-40B4-BE49-F238E27FC236}">
                  <a16:creationId xmlns:a16="http://schemas.microsoft.com/office/drawing/2014/main" id="{00000000-0008-0000-0200-00001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82" name="Check Box 286" hidden="1">
              <a:extLst>
                <a:ext uri="{63B3BB69-23CF-44E3-9099-C40C66FF867C}">
                  <a14:compatExt spid="_x0000_s4382"/>
                </a:ext>
                <a:ext uri="{FF2B5EF4-FFF2-40B4-BE49-F238E27FC236}">
                  <a16:creationId xmlns:a16="http://schemas.microsoft.com/office/drawing/2014/main" id="{00000000-0008-0000-0200-00001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83" name="Check Box 287" hidden="1">
              <a:extLst>
                <a:ext uri="{63B3BB69-23CF-44E3-9099-C40C66FF867C}">
                  <a14:compatExt spid="_x0000_s4383"/>
                </a:ext>
                <a:ext uri="{FF2B5EF4-FFF2-40B4-BE49-F238E27FC236}">
                  <a16:creationId xmlns:a16="http://schemas.microsoft.com/office/drawing/2014/main" id="{00000000-0008-0000-0200-00001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84" name="Check Box 288" hidden="1">
              <a:extLst>
                <a:ext uri="{63B3BB69-23CF-44E3-9099-C40C66FF867C}">
                  <a14:compatExt spid="_x0000_s4384"/>
                </a:ext>
                <a:ext uri="{FF2B5EF4-FFF2-40B4-BE49-F238E27FC236}">
                  <a16:creationId xmlns:a16="http://schemas.microsoft.com/office/drawing/2014/main" id="{00000000-0008-0000-0200-00002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85" name="Check Box 289" hidden="1">
              <a:extLst>
                <a:ext uri="{63B3BB69-23CF-44E3-9099-C40C66FF867C}">
                  <a14:compatExt spid="_x0000_s4385"/>
                </a:ext>
                <a:ext uri="{FF2B5EF4-FFF2-40B4-BE49-F238E27FC236}">
                  <a16:creationId xmlns:a16="http://schemas.microsoft.com/office/drawing/2014/main" id="{00000000-0008-0000-0200-00002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86" name="Check Box 290" hidden="1">
              <a:extLst>
                <a:ext uri="{63B3BB69-23CF-44E3-9099-C40C66FF867C}">
                  <a14:compatExt spid="_x0000_s4386"/>
                </a:ext>
                <a:ext uri="{FF2B5EF4-FFF2-40B4-BE49-F238E27FC236}">
                  <a16:creationId xmlns:a16="http://schemas.microsoft.com/office/drawing/2014/main" id="{00000000-0008-0000-0200-00002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87" name="Check Box 291" hidden="1">
              <a:extLst>
                <a:ext uri="{63B3BB69-23CF-44E3-9099-C40C66FF867C}">
                  <a14:compatExt spid="_x0000_s4387"/>
                </a:ext>
                <a:ext uri="{FF2B5EF4-FFF2-40B4-BE49-F238E27FC236}">
                  <a16:creationId xmlns:a16="http://schemas.microsoft.com/office/drawing/2014/main" id="{00000000-0008-0000-0200-00002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88" name="Check Box 292" hidden="1">
              <a:extLst>
                <a:ext uri="{63B3BB69-23CF-44E3-9099-C40C66FF867C}">
                  <a14:compatExt spid="_x0000_s4388"/>
                </a:ext>
                <a:ext uri="{FF2B5EF4-FFF2-40B4-BE49-F238E27FC236}">
                  <a16:creationId xmlns:a16="http://schemas.microsoft.com/office/drawing/2014/main" id="{00000000-0008-0000-0200-00002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89" name="Check Box 293" hidden="1">
              <a:extLst>
                <a:ext uri="{63B3BB69-23CF-44E3-9099-C40C66FF867C}">
                  <a14:compatExt spid="_x0000_s4389"/>
                </a:ext>
                <a:ext uri="{FF2B5EF4-FFF2-40B4-BE49-F238E27FC236}">
                  <a16:creationId xmlns:a16="http://schemas.microsoft.com/office/drawing/2014/main" id="{00000000-0008-0000-0200-00002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90" name="Check Box 294" hidden="1">
              <a:extLst>
                <a:ext uri="{63B3BB69-23CF-44E3-9099-C40C66FF867C}">
                  <a14:compatExt spid="_x0000_s4390"/>
                </a:ext>
                <a:ext uri="{FF2B5EF4-FFF2-40B4-BE49-F238E27FC236}">
                  <a16:creationId xmlns:a16="http://schemas.microsoft.com/office/drawing/2014/main" id="{00000000-0008-0000-0200-00002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1" name="Check Box 295" hidden="1">
              <a:extLst>
                <a:ext uri="{63B3BB69-23CF-44E3-9099-C40C66FF867C}">
                  <a14:compatExt spid="_x0000_s4391"/>
                </a:ext>
                <a:ext uri="{FF2B5EF4-FFF2-40B4-BE49-F238E27FC236}">
                  <a16:creationId xmlns:a16="http://schemas.microsoft.com/office/drawing/2014/main" id="{00000000-0008-0000-0200-00002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2" name="Check Box 296" hidden="1">
              <a:extLst>
                <a:ext uri="{63B3BB69-23CF-44E3-9099-C40C66FF867C}">
                  <a14:compatExt spid="_x0000_s4392"/>
                </a:ext>
                <a:ext uri="{FF2B5EF4-FFF2-40B4-BE49-F238E27FC236}">
                  <a16:creationId xmlns:a16="http://schemas.microsoft.com/office/drawing/2014/main" id="{00000000-0008-0000-0200-00002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3" name="Check Box 297" hidden="1">
              <a:extLst>
                <a:ext uri="{63B3BB69-23CF-44E3-9099-C40C66FF867C}">
                  <a14:compatExt spid="_x0000_s4393"/>
                </a:ext>
                <a:ext uri="{FF2B5EF4-FFF2-40B4-BE49-F238E27FC236}">
                  <a16:creationId xmlns:a16="http://schemas.microsoft.com/office/drawing/2014/main" id="{00000000-0008-0000-0200-00002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4" name="Check Box 298" hidden="1">
              <a:extLst>
                <a:ext uri="{63B3BB69-23CF-44E3-9099-C40C66FF867C}">
                  <a14:compatExt spid="_x0000_s4394"/>
                </a:ext>
                <a:ext uri="{FF2B5EF4-FFF2-40B4-BE49-F238E27FC236}">
                  <a16:creationId xmlns:a16="http://schemas.microsoft.com/office/drawing/2014/main" id="{00000000-0008-0000-0200-00002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5" name="Check Box 299" hidden="1">
              <a:extLst>
                <a:ext uri="{63B3BB69-23CF-44E3-9099-C40C66FF867C}">
                  <a14:compatExt spid="_x0000_s4395"/>
                </a:ext>
                <a:ext uri="{FF2B5EF4-FFF2-40B4-BE49-F238E27FC236}">
                  <a16:creationId xmlns:a16="http://schemas.microsoft.com/office/drawing/2014/main" id="{00000000-0008-0000-0200-00002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6" name="Check Box 300" hidden="1">
              <a:extLst>
                <a:ext uri="{63B3BB69-23CF-44E3-9099-C40C66FF867C}">
                  <a14:compatExt spid="_x0000_s4396"/>
                </a:ext>
                <a:ext uri="{FF2B5EF4-FFF2-40B4-BE49-F238E27FC236}">
                  <a16:creationId xmlns:a16="http://schemas.microsoft.com/office/drawing/2014/main" id="{00000000-0008-0000-0200-00002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7" name="Check Box 301" hidden="1">
              <a:extLst>
                <a:ext uri="{63B3BB69-23CF-44E3-9099-C40C66FF867C}">
                  <a14:compatExt spid="_x0000_s4397"/>
                </a:ext>
                <a:ext uri="{FF2B5EF4-FFF2-40B4-BE49-F238E27FC236}">
                  <a16:creationId xmlns:a16="http://schemas.microsoft.com/office/drawing/2014/main" id="{00000000-0008-0000-0200-00002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8" name="Check Box 302" hidden="1">
              <a:extLst>
                <a:ext uri="{63B3BB69-23CF-44E3-9099-C40C66FF867C}">
                  <a14:compatExt spid="_x0000_s4398"/>
                </a:ext>
                <a:ext uri="{FF2B5EF4-FFF2-40B4-BE49-F238E27FC236}">
                  <a16:creationId xmlns:a16="http://schemas.microsoft.com/office/drawing/2014/main" id="{00000000-0008-0000-0200-00002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9" name="Check Box 303" hidden="1">
              <a:extLst>
                <a:ext uri="{63B3BB69-23CF-44E3-9099-C40C66FF867C}">
                  <a14:compatExt spid="_x0000_s4399"/>
                </a:ext>
                <a:ext uri="{FF2B5EF4-FFF2-40B4-BE49-F238E27FC236}">
                  <a16:creationId xmlns:a16="http://schemas.microsoft.com/office/drawing/2014/main" id="{00000000-0008-0000-0200-00002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400" name="Check Box 304" hidden="1">
              <a:extLst>
                <a:ext uri="{63B3BB69-23CF-44E3-9099-C40C66FF867C}">
                  <a14:compatExt spid="_x0000_s4400"/>
                </a:ext>
                <a:ext uri="{FF2B5EF4-FFF2-40B4-BE49-F238E27FC236}">
                  <a16:creationId xmlns:a16="http://schemas.microsoft.com/office/drawing/2014/main" id="{00000000-0008-0000-0200-00003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401" name="Check Box 305" hidden="1">
              <a:extLst>
                <a:ext uri="{63B3BB69-23CF-44E3-9099-C40C66FF867C}">
                  <a14:compatExt spid="_x0000_s4401"/>
                </a:ext>
                <a:ext uri="{FF2B5EF4-FFF2-40B4-BE49-F238E27FC236}">
                  <a16:creationId xmlns:a16="http://schemas.microsoft.com/office/drawing/2014/main" id="{00000000-0008-0000-0200-00003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402" name="Check Box 306" hidden="1">
              <a:extLst>
                <a:ext uri="{63B3BB69-23CF-44E3-9099-C40C66FF867C}">
                  <a14:compatExt spid="_x0000_s4402"/>
                </a:ext>
                <a:ext uri="{FF2B5EF4-FFF2-40B4-BE49-F238E27FC236}">
                  <a16:creationId xmlns:a16="http://schemas.microsoft.com/office/drawing/2014/main" id="{00000000-0008-0000-0200-00003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403" name="Check Box 307" hidden="1">
              <a:extLst>
                <a:ext uri="{63B3BB69-23CF-44E3-9099-C40C66FF867C}">
                  <a14:compatExt spid="_x0000_s4403"/>
                </a:ext>
                <a:ext uri="{FF2B5EF4-FFF2-40B4-BE49-F238E27FC236}">
                  <a16:creationId xmlns:a16="http://schemas.microsoft.com/office/drawing/2014/main" id="{00000000-0008-0000-0200-00003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404" name="Check Box 308" hidden="1">
              <a:extLst>
                <a:ext uri="{63B3BB69-23CF-44E3-9099-C40C66FF867C}">
                  <a14:compatExt spid="_x0000_s4404"/>
                </a:ext>
                <a:ext uri="{FF2B5EF4-FFF2-40B4-BE49-F238E27FC236}">
                  <a16:creationId xmlns:a16="http://schemas.microsoft.com/office/drawing/2014/main" id="{00000000-0008-0000-0200-00003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405" name="Check Box 309" hidden="1">
              <a:extLst>
                <a:ext uri="{63B3BB69-23CF-44E3-9099-C40C66FF867C}">
                  <a14:compatExt spid="_x0000_s4405"/>
                </a:ext>
                <a:ext uri="{FF2B5EF4-FFF2-40B4-BE49-F238E27FC236}">
                  <a16:creationId xmlns:a16="http://schemas.microsoft.com/office/drawing/2014/main" id="{00000000-0008-0000-0200-00003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406" name="Check Box 310" hidden="1">
              <a:extLst>
                <a:ext uri="{63B3BB69-23CF-44E3-9099-C40C66FF867C}">
                  <a14:compatExt spid="_x0000_s4406"/>
                </a:ext>
                <a:ext uri="{FF2B5EF4-FFF2-40B4-BE49-F238E27FC236}">
                  <a16:creationId xmlns:a16="http://schemas.microsoft.com/office/drawing/2014/main" id="{00000000-0008-0000-0200-00003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07" name="Check Box 311" hidden="1">
              <a:extLst>
                <a:ext uri="{63B3BB69-23CF-44E3-9099-C40C66FF867C}">
                  <a14:compatExt spid="_x0000_s4407"/>
                </a:ext>
                <a:ext uri="{FF2B5EF4-FFF2-40B4-BE49-F238E27FC236}">
                  <a16:creationId xmlns:a16="http://schemas.microsoft.com/office/drawing/2014/main" id="{00000000-0008-0000-0200-00003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08" name="Check Box 312" hidden="1">
              <a:extLst>
                <a:ext uri="{63B3BB69-23CF-44E3-9099-C40C66FF867C}">
                  <a14:compatExt spid="_x0000_s4408"/>
                </a:ext>
                <a:ext uri="{FF2B5EF4-FFF2-40B4-BE49-F238E27FC236}">
                  <a16:creationId xmlns:a16="http://schemas.microsoft.com/office/drawing/2014/main" id="{00000000-0008-0000-0200-00003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09" name="Check Box 313" hidden="1">
              <a:extLst>
                <a:ext uri="{63B3BB69-23CF-44E3-9099-C40C66FF867C}">
                  <a14:compatExt spid="_x0000_s4409"/>
                </a:ext>
                <a:ext uri="{FF2B5EF4-FFF2-40B4-BE49-F238E27FC236}">
                  <a16:creationId xmlns:a16="http://schemas.microsoft.com/office/drawing/2014/main" id="{00000000-0008-0000-0200-00003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10" name="Check Box 314" hidden="1">
              <a:extLst>
                <a:ext uri="{63B3BB69-23CF-44E3-9099-C40C66FF867C}">
                  <a14:compatExt spid="_x0000_s4410"/>
                </a:ext>
                <a:ext uri="{FF2B5EF4-FFF2-40B4-BE49-F238E27FC236}">
                  <a16:creationId xmlns:a16="http://schemas.microsoft.com/office/drawing/2014/main" id="{00000000-0008-0000-0200-00003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11" name="Check Box 315" hidden="1">
              <a:extLst>
                <a:ext uri="{63B3BB69-23CF-44E3-9099-C40C66FF867C}">
                  <a14:compatExt spid="_x0000_s4411"/>
                </a:ext>
                <a:ext uri="{FF2B5EF4-FFF2-40B4-BE49-F238E27FC236}">
                  <a16:creationId xmlns:a16="http://schemas.microsoft.com/office/drawing/2014/main" id="{00000000-0008-0000-0200-00003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12" name="Check Box 316" hidden="1">
              <a:extLst>
                <a:ext uri="{63B3BB69-23CF-44E3-9099-C40C66FF867C}">
                  <a14:compatExt spid="_x0000_s4412"/>
                </a:ext>
                <a:ext uri="{FF2B5EF4-FFF2-40B4-BE49-F238E27FC236}">
                  <a16:creationId xmlns:a16="http://schemas.microsoft.com/office/drawing/2014/main" id="{00000000-0008-0000-0200-00003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13" name="Check Box 317" hidden="1">
              <a:extLst>
                <a:ext uri="{63B3BB69-23CF-44E3-9099-C40C66FF867C}">
                  <a14:compatExt spid="_x0000_s4413"/>
                </a:ext>
                <a:ext uri="{FF2B5EF4-FFF2-40B4-BE49-F238E27FC236}">
                  <a16:creationId xmlns:a16="http://schemas.microsoft.com/office/drawing/2014/main" id="{00000000-0008-0000-0200-00003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14" name="Check Box 318" hidden="1">
              <a:extLst>
                <a:ext uri="{63B3BB69-23CF-44E3-9099-C40C66FF867C}">
                  <a14:compatExt spid="_x0000_s4414"/>
                </a:ext>
                <a:ext uri="{FF2B5EF4-FFF2-40B4-BE49-F238E27FC236}">
                  <a16:creationId xmlns:a16="http://schemas.microsoft.com/office/drawing/2014/main" id="{00000000-0008-0000-0200-00003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15" name="Check Box 319" hidden="1">
              <a:extLst>
                <a:ext uri="{63B3BB69-23CF-44E3-9099-C40C66FF867C}">
                  <a14:compatExt spid="_x0000_s4415"/>
                </a:ext>
                <a:ext uri="{FF2B5EF4-FFF2-40B4-BE49-F238E27FC236}">
                  <a16:creationId xmlns:a16="http://schemas.microsoft.com/office/drawing/2014/main" id="{00000000-0008-0000-0200-00003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29</xdr:row>
          <xdr:rowOff>88900</xdr:rowOff>
        </xdr:to>
        <xdr:sp macro="" textlink="">
          <xdr:nvSpPr>
            <xdr:cNvPr id="4416" name="Check Box 320" hidden="1">
              <a:extLst>
                <a:ext uri="{63B3BB69-23CF-44E3-9099-C40C66FF867C}">
                  <a14:compatExt spid="_x0000_s4416"/>
                </a:ext>
                <a:ext uri="{FF2B5EF4-FFF2-40B4-BE49-F238E27FC236}">
                  <a16:creationId xmlns:a16="http://schemas.microsoft.com/office/drawing/2014/main" id="{00000000-0008-0000-0200-00004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417" name="Check Box 321" hidden="1">
              <a:extLst>
                <a:ext uri="{63B3BB69-23CF-44E3-9099-C40C66FF867C}">
                  <a14:compatExt spid="_x0000_s4417"/>
                </a:ext>
                <a:ext uri="{FF2B5EF4-FFF2-40B4-BE49-F238E27FC236}">
                  <a16:creationId xmlns:a16="http://schemas.microsoft.com/office/drawing/2014/main" id="{00000000-0008-0000-0200-00004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50800</xdr:rowOff>
        </xdr:to>
        <xdr:sp macro="" textlink="">
          <xdr:nvSpPr>
            <xdr:cNvPr id="4418" name="Check Box 322" hidden="1">
              <a:extLst>
                <a:ext uri="{63B3BB69-23CF-44E3-9099-C40C66FF867C}">
                  <a14:compatExt spid="_x0000_s4418"/>
                </a:ext>
                <a:ext uri="{FF2B5EF4-FFF2-40B4-BE49-F238E27FC236}">
                  <a16:creationId xmlns:a16="http://schemas.microsoft.com/office/drawing/2014/main" id="{00000000-0008-0000-0200-00004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19" name="Check Box 323" hidden="1">
              <a:extLst>
                <a:ext uri="{63B3BB69-23CF-44E3-9099-C40C66FF867C}">
                  <a14:compatExt spid="_x0000_s4419"/>
                </a:ext>
                <a:ext uri="{FF2B5EF4-FFF2-40B4-BE49-F238E27FC236}">
                  <a16:creationId xmlns:a16="http://schemas.microsoft.com/office/drawing/2014/main" id="{00000000-0008-0000-0200-00004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29</xdr:row>
          <xdr:rowOff>88900</xdr:rowOff>
        </xdr:to>
        <xdr:sp macro="" textlink="">
          <xdr:nvSpPr>
            <xdr:cNvPr id="4420" name="Check Box 324" hidden="1">
              <a:extLst>
                <a:ext uri="{63B3BB69-23CF-44E3-9099-C40C66FF867C}">
                  <a14:compatExt spid="_x0000_s4420"/>
                </a:ext>
                <a:ext uri="{FF2B5EF4-FFF2-40B4-BE49-F238E27FC236}">
                  <a16:creationId xmlns:a16="http://schemas.microsoft.com/office/drawing/2014/main" id="{00000000-0008-0000-0200-00004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21" name="Check Box 325" hidden="1">
              <a:extLst>
                <a:ext uri="{63B3BB69-23CF-44E3-9099-C40C66FF867C}">
                  <a14:compatExt spid="_x0000_s4421"/>
                </a:ext>
                <a:ext uri="{FF2B5EF4-FFF2-40B4-BE49-F238E27FC236}">
                  <a16:creationId xmlns:a16="http://schemas.microsoft.com/office/drawing/2014/main" id="{00000000-0008-0000-0200-00004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22" name="Check Box 326" hidden="1">
              <a:extLst>
                <a:ext uri="{63B3BB69-23CF-44E3-9099-C40C66FF867C}">
                  <a14:compatExt spid="_x0000_s4422"/>
                </a:ext>
                <a:ext uri="{FF2B5EF4-FFF2-40B4-BE49-F238E27FC236}">
                  <a16:creationId xmlns:a16="http://schemas.microsoft.com/office/drawing/2014/main" id="{00000000-0008-0000-0200-00004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23" name="Check Box 327" hidden="1">
              <a:extLst>
                <a:ext uri="{63B3BB69-23CF-44E3-9099-C40C66FF867C}">
                  <a14:compatExt spid="_x0000_s4423"/>
                </a:ext>
                <a:ext uri="{FF2B5EF4-FFF2-40B4-BE49-F238E27FC236}">
                  <a16:creationId xmlns:a16="http://schemas.microsoft.com/office/drawing/2014/main" id="{00000000-0008-0000-0200-00004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24" name="Check Box 328" hidden="1">
              <a:extLst>
                <a:ext uri="{63B3BB69-23CF-44E3-9099-C40C66FF867C}">
                  <a14:compatExt spid="_x0000_s4424"/>
                </a:ext>
                <a:ext uri="{FF2B5EF4-FFF2-40B4-BE49-F238E27FC236}">
                  <a16:creationId xmlns:a16="http://schemas.microsoft.com/office/drawing/2014/main" id="{00000000-0008-0000-0200-00004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25" name="Check Box 329" hidden="1">
              <a:extLst>
                <a:ext uri="{63B3BB69-23CF-44E3-9099-C40C66FF867C}">
                  <a14:compatExt spid="_x0000_s4425"/>
                </a:ext>
                <a:ext uri="{FF2B5EF4-FFF2-40B4-BE49-F238E27FC236}">
                  <a16:creationId xmlns:a16="http://schemas.microsoft.com/office/drawing/2014/main" id="{00000000-0008-0000-0200-00004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26" name="Check Box 330" hidden="1">
              <a:extLst>
                <a:ext uri="{63B3BB69-23CF-44E3-9099-C40C66FF867C}">
                  <a14:compatExt spid="_x0000_s4426"/>
                </a:ext>
                <a:ext uri="{FF2B5EF4-FFF2-40B4-BE49-F238E27FC236}">
                  <a16:creationId xmlns:a16="http://schemas.microsoft.com/office/drawing/2014/main" id="{00000000-0008-0000-0200-00004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27" name="Check Box 331" hidden="1">
              <a:extLst>
                <a:ext uri="{63B3BB69-23CF-44E3-9099-C40C66FF867C}">
                  <a14:compatExt spid="_x0000_s4427"/>
                </a:ext>
                <a:ext uri="{FF2B5EF4-FFF2-40B4-BE49-F238E27FC236}">
                  <a16:creationId xmlns:a16="http://schemas.microsoft.com/office/drawing/2014/main" id="{00000000-0008-0000-0200-00004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428" name="Check Box 332" hidden="1">
              <a:extLst>
                <a:ext uri="{63B3BB69-23CF-44E3-9099-C40C66FF867C}">
                  <a14:compatExt spid="_x0000_s4428"/>
                </a:ext>
                <a:ext uri="{FF2B5EF4-FFF2-40B4-BE49-F238E27FC236}">
                  <a16:creationId xmlns:a16="http://schemas.microsoft.com/office/drawing/2014/main" id="{00000000-0008-0000-0200-00004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29" name="Check Box 333" hidden="1">
              <a:extLst>
                <a:ext uri="{63B3BB69-23CF-44E3-9099-C40C66FF867C}">
                  <a14:compatExt spid="_x0000_s4429"/>
                </a:ext>
                <a:ext uri="{FF2B5EF4-FFF2-40B4-BE49-F238E27FC236}">
                  <a16:creationId xmlns:a16="http://schemas.microsoft.com/office/drawing/2014/main" id="{00000000-0008-0000-0200-00004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0" name="Check Box 334" hidden="1">
              <a:extLst>
                <a:ext uri="{63B3BB69-23CF-44E3-9099-C40C66FF867C}">
                  <a14:compatExt spid="_x0000_s4430"/>
                </a:ext>
                <a:ext uri="{FF2B5EF4-FFF2-40B4-BE49-F238E27FC236}">
                  <a16:creationId xmlns:a16="http://schemas.microsoft.com/office/drawing/2014/main" id="{00000000-0008-0000-0200-00004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1" name="Check Box 335" hidden="1">
              <a:extLst>
                <a:ext uri="{63B3BB69-23CF-44E3-9099-C40C66FF867C}">
                  <a14:compatExt spid="_x0000_s4431"/>
                </a:ext>
                <a:ext uri="{FF2B5EF4-FFF2-40B4-BE49-F238E27FC236}">
                  <a16:creationId xmlns:a16="http://schemas.microsoft.com/office/drawing/2014/main" id="{00000000-0008-0000-0200-00004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2" name="Check Box 336" hidden="1">
              <a:extLst>
                <a:ext uri="{63B3BB69-23CF-44E3-9099-C40C66FF867C}">
                  <a14:compatExt spid="_x0000_s4432"/>
                </a:ext>
                <a:ext uri="{FF2B5EF4-FFF2-40B4-BE49-F238E27FC236}">
                  <a16:creationId xmlns:a16="http://schemas.microsoft.com/office/drawing/2014/main" id="{00000000-0008-0000-0200-00005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3" name="Check Box 337" hidden="1">
              <a:extLst>
                <a:ext uri="{63B3BB69-23CF-44E3-9099-C40C66FF867C}">
                  <a14:compatExt spid="_x0000_s4433"/>
                </a:ext>
                <a:ext uri="{FF2B5EF4-FFF2-40B4-BE49-F238E27FC236}">
                  <a16:creationId xmlns:a16="http://schemas.microsoft.com/office/drawing/2014/main" id="{00000000-0008-0000-0200-00005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4" name="Check Box 338" hidden="1">
              <a:extLst>
                <a:ext uri="{63B3BB69-23CF-44E3-9099-C40C66FF867C}">
                  <a14:compatExt spid="_x0000_s4434"/>
                </a:ext>
                <a:ext uri="{FF2B5EF4-FFF2-40B4-BE49-F238E27FC236}">
                  <a16:creationId xmlns:a16="http://schemas.microsoft.com/office/drawing/2014/main" id="{00000000-0008-0000-0200-00005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5" name="Check Box 339" hidden="1">
              <a:extLst>
                <a:ext uri="{63B3BB69-23CF-44E3-9099-C40C66FF867C}">
                  <a14:compatExt spid="_x0000_s4435"/>
                </a:ext>
                <a:ext uri="{FF2B5EF4-FFF2-40B4-BE49-F238E27FC236}">
                  <a16:creationId xmlns:a16="http://schemas.microsoft.com/office/drawing/2014/main" id="{00000000-0008-0000-0200-00005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6" name="Check Box 340" hidden="1">
              <a:extLst>
                <a:ext uri="{63B3BB69-23CF-44E3-9099-C40C66FF867C}">
                  <a14:compatExt spid="_x0000_s4436"/>
                </a:ext>
                <a:ext uri="{FF2B5EF4-FFF2-40B4-BE49-F238E27FC236}">
                  <a16:creationId xmlns:a16="http://schemas.microsoft.com/office/drawing/2014/main" id="{00000000-0008-0000-0200-00005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7" name="Check Box 341" hidden="1">
              <a:extLst>
                <a:ext uri="{63B3BB69-23CF-44E3-9099-C40C66FF867C}">
                  <a14:compatExt spid="_x0000_s4437"/>
                </a:ext>
                <a:ext uri="{FF2B5EF4-FFF2-40B4-BE49-F238E27FC236}">
                  <a16:creationId xmlns:a16="http://schemas.microsoft.com/office/drawing/2014/main" id="{00000000-0008-0000-0200-00005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8" name="Check Box 342" hidden="1">
              <a:extLst>
                <a:ext uri="{63B3BB69-23CF-44E3-9099-C40C66FF867C}">
                  <a14:compatExt spid="_x0000_s4438"/>
                </a:ext>
                <a:ext uri="{FF2B5EF4-FFF2-40B4-BE49-F238E27FC236}">
                  <a16:creationId xmlns:a16="http://schemas.microsoft.com/office/drawing/2014/main" id="{00000000-0008-0000-0200-00005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9" name="Check Box 343" hidden="1">
              <a:extLst>
                <a:ext uri="{63B3BB69-23CF-44E3-9099-C40C66FF867C}">
                  <a14:compatExt spid="_x0000_s4439"/>
                </a:ext>
                <a:ext uri="{FF2B5EF4-FFF2-40B4-BE49-F238E27FC236}">
                  <a16:creationId xmlns:a16="http://schemas.microsoft.com/office/drawing/2014/main" id="{00000000-0008-0000-0200-00005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40" name="Check Box 344" hidden="1">
              <a:extLst>
                <a:ext uri="{63B3BB69-23CF-44E3-9099-C40C66FF867C}">
                  <a14:compatExt spid="_x0000_s4440"/>
                </a:ext>
                <a:ext uri="{FF2B5EF4-FFF2-40B4-BE49-F238E27FC236}">
                  <a16:creationId xmlns:a16="http://schemas.microsoft.com/office/drawing/2014/main" id="{00000000-0008-0000-0200-00005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41" name="Check Box 345" hidden="1">
              <a:extLst>
                <a:ext uri="{63B3BB69-23CF-44E3-9099-C40C66FF867C}">
                  <a14:compatExt spid="_x0000_s4441"/>
                </a:ext>
                <a:ext uri="{FF2B5EF4-FFF2-40B4-BE49-F238E27FC236}">
                  <a16:creationId xmlns:a16="http://schemas.microsoft.com/office/drawing/2014/main" id="{00000000-0008-0000-0200-00005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42" name="Check Box 346" hidden="1">
              <a:extLst>
                <a:ext uri="{63B3BB69-23CF-44E3-9099-C40C66FF867C}">
                  <a14:compatExt spid="_x0000_s4442"/>
                </a:ext>
                <a:ext uri="{FF2B5EF4-FFF2-40B4-BE49-F238E27FC236}">
                  <a16:creationId xmlns:a16="http://schemas.microsoft.com/office/drawing/2014/main" id="{00000000-0008-0000-0200-00005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43" name="Check Box 347" hidden="1">
              <a:extLst>
                <a:ext uri="{63B3BB69-23CF-44E3-9099-C40C66FF867C}">
                  <a14:compatExt spid="_x0000_s4443"/>
                </a:ext>
                <a:ext uri="{FF2B5EF4-FFF2-40B4-BE49-F238E27FC236}">
                  <a16:creationId xmlns:a16="http://schemas.microsoft.com/office/drawing/2014/main" id="{00000000-0008-0000-0200-00005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44" name="Check Box 348" hidden="1">
              <a:extLst>
                <a:ext uri="{63B3BB69-23CF-44E3-9099-C40C66FF867C}">
                  <a14:compatExt spid="_x0000_s4444"/>
                </a:ext>
                <a:ext uri="{FF2B5EF4-FFF2-40B4-BE49-F238E27FC236}">
                  <a16:creationId xmlns:a16="http://schemas.microsoft.com/office/drawing/2014/main" id="{00000000-0008-0000-0200-00005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45" name="Check Box 349" hidden="1">
              <a:extLst>
                <a:ext uri="{63B3BB69-23CF-44E3-9099-C40C66FF867C}">
                  <a14:compatExt spid="_x0000_s4445"/>
                </a:ext>
                <a:ext uri="{FF2B5EF4-FFF2-40B4-BE49-F238E27FC236}">
                  <a16:creationId xmlns:a16="http://schemas.microsoft.com/office/drawing/2014/main" id="{00000000-0008-0000-0200-00005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46" name="Check Box 350" hidden="1">
              <a:extLst>
                <a:ext uri="{63B3BB69-23CF-44E3-9099-C40C66FF867C}">
                  <a14:compatExt spid="_x0000_s4446"/>
                </a:ext>
                <a:ext uri="{FF2B5EF4-FFF2-40B4-BE49-F238E27FC236}">
                  <a16:creationId xmlns:a16="http://schemas.microsoft.com/office/drawing/2014/main" id="{00000000-0008-0000-0200-00005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47" name="Check Box 351" hidden="1">
              <a:extLst>
                <a:ext uri="{63B3BB69-23CF-44E3-9099-C40C66FF867C}">
                  <a14:compatExt spid="_x0000_s4447"/>
                </a:ext>
                <a:ext uri="{FF2B5EF4-FFF2-40B4-BE49-F238E27FC236}">
                  <a16:creationId xmlns:a16="http://schemas.microsoft.com/office/drawing/2014/main" id="{00000000-0008-0000-0200-00005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29</xdr:row>
          <xdr:rowOff>88900</xdr:rowOff>
        </xdr:to>
        <xdr:sp macro="" textlink="">
          <xdr:nvSpPr>
            <xdr:cNvPr id="4448" name="Check Box 352" hidden="1">
              <a:extLst>
                <a:ext uri="{63B3BB69-23CF-44E3-9099-C40C66FF867C}">
                  <a14:compatExt spid="_x0000_s4448"/>
                </a:ext>
                <a:ext uri="{FF2B5EF4-FFF2-40B4-BE49-F238E27FC236}">
                  <a16:creationId xmlns:a16="http://schemas.microsoft.com/office/drawing/2014/main" id="{00000000-0008-0000-0200-00006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449" name="Check Box 353" hidden="1">
              <a:extLst>
                <a:ext uri="{63B3BB69-23CF-44E3-9099-C40C66FF867C}">
                  <a14:compatExt spid="_x0000_s4449"/>
                </a:ext>
                <a:ext uri="{FF2B5EF4-FFF2-40B4-BE49-F238E27FC236}">
                  <a16:creationId xmlns:a16="http://schemas.microsoft.com/office/drawing/2014/main" id="{00000000-0008-0000-0200-00006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50800</xdr:rowOff>
        </xdr:to>
        <xdr:sp macro="" textlink="">
          <xdr:nvSpPr>
            <xdr:cNvPr id="4450" name="Check Box 354" hidden="1">
              <a:extLst>
                <a:ext uri="{63B3BB69-23CF-44E3-9099-C40C66FF867C}">
                  <a14:compatExt spid="_x0000_s4450"/>
                </a:ext>
                <a:ext uri="{FF2B5EF4-FFF2-40B4-BE49-F238E27FC236}">
                  <a16:creationId xmlns:a16="http://schemas.microsoft.com/office/drawing/2014/main" id="{00000000-0008-0000-0200-00006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51" name="Check Box 355" hidden="1">
              <a:extLst>
                <a:ext uri="{63B3BB69-23CF-44E3-9099-C40C66FF867C}">
                  <a14:compatExt spid="_x0000_s4451"/>
                </a:ext>
                <a:ext uri="{FF2B5EF4-FFF2-40B4-BE49-F238E27FC236}">
                  <a16:creationId xmlns:a16="http://schemas.microsoft.com/office/drawing/2014/main" id="{00000000-0008-0000-0200-00006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29</xdr:row>
          <xdr:rowOff>88900</xdr:rowOff>
        </xdr:to>
        <xdr:sp macro="" textlink="">
          <xdr:nvSpPr>
            <xdr:cNvPr id="4452" name="Check Box 356" hidden="1">
              <a:extLst>
                <a:ext uri="{63B3BB69-23CF-44E3-9099-C40C66FF867C}">
                  <a14:compatExt spid="_x0000_s4452"/>
                </a:ext>
                <a:ext uri="{FF2B5EF4-FFF2-40B4-BE49-F238E27FC236}">
                  <a16:creationId xmlns:a16="http://schemas.microsoft.com/office/drawing/2014/main" id="{00000000-0008-0000-0200-00006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53" name="Check Box 357" hidden="1">
              <a:extLst>
                <a:ext uri="{63B3BB69-23CF-44E3-9099-C40C66FF867C}">
                  <a14:compatExt spid="_x0000_s4453"/>
                </a:ext>
                <a:ext uri="{FF2B5EF4-FFF2-40B4-BE49-F238E27FC236}">
                  <a16:creationId xmlns:a16="http://schemas.microsoft.com/office/drawing/2014/main" id="{00000000-0008-0000-0200-00006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54" name="Check Box 358" hidden="1">
              <a:extLst>
                <a:ext uri="{63B3BB69-23CF-44E3-9099-C40C66FF867C}">
                  <a14:compatExt spid="_x0000_s4454"/>
                </a:ext>
                <a:ext uri="{FF2B5EF4-FFF2-40B4-BE49-F238E27FC236}">
                  <a16:creationId xmlns:a16="http://schemas.microsoft.com/office/drawing/2014/main" id="{00000000-0008-0000-0200-00006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55" name="Check Box 359" hidden="1">
              <a:extLst>
                <a:ext uri="{63B3BB69-23CF-44E3-9099-C40C66FF867C}">
                  <a14:compatExt spid="_x0000_s4455"/>
                </a:ext>
                <a:ext uri="{FF2B5EF4-FFF2-40B4-BE49-F238E27FC236}">
                  <a16:creationId xmlns:a16="http://schemas.microsoft.com/office/drawing/2014/main" id="{00000000-0008-0000-0200-00006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56" name="Check Box 360" hidden="1">
              <a:extLst>
                <a:ext uri="{63B3BB69-23CF-44E3-9099-C40C66FF867C}">
                  <a14:compatExt spid="_x0000_s4456"/>
                </a:ext>
                <a:ext uri="{FF2B5EF4-FFF2-40B4-BE49-F238E27FC236}">
                  <a16:creationId xmlns:a16="http://schemas.microsoft.com/office/drawing/2014/main" id="{00000000-0008-0000-0200-00006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57" name="Check Box 361" hidden="1">
              <a:extLst>
                <a:ext uri="{63B3BB69-23CF-44E3-9099-C40C66FF867C}">
                  <a14:compatExt spid="_x0000_s4457"/>
                </a:ext>
                <a:ext uri="{FF2B5EF4-FFF2-40B4-BE49-F238E27FC236}">
                  <a16:creationId xmlns:a16="http://schemas.microsoft.com/office/drawing/2014/main" id="{00000000-0008-0000-0200-00006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58" name="Check Box 362" hidden="1">
              <a:extLst>
                <a:ext uri="{63B3BB69-23CF-44E3-9099-C40C66FF867C}">
                  <a14:compatExt spid="_x0000_s4458"/>
                </a:ext>
                <a:ext uri="{FF2B5EF4-FFF2-40B4-BE49-F238E27FC236}">
                  <a16:creationId xmlns:a16="http://schemas.microsoft.com/office/drawing/2014/main" id="{00000000-0008-0000-0200-00006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59" name="Check Box 363" hidden="1">
              <a:extLst>
                <a:ext uri="{63B3BB69-23CF-44E3-9099-C40C66FF867C}">
                  <a14:compatExt spid="_x0000_s4459"/>
                </a:ext>
                <a:ext uri="{FF2B5EF4-FFF2-40B4-BE49-F238E27FC236}">
                  <a16:creationId xmlns:a16="http://schemas.microsoft.com/office/drawing/2014/main" id="{00000000-0008-0000-0200-00006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460" name="Check Box 364" hidden="1">
              <a:extLst>
                <a:ext uri="{63B3BB69-23CF-44E3-9099-C40C66FF867C}">
                  <a14:compatExt spid="_x0000_s4460"/>
                </a:ext>
                <a:ext uri="{FF2B5EF4-FFF2-40B4-BE49-F238E27FC236}">
                  <a16:creationId xmlns:a16="http://schemas.microsoft.com/office/drawing/2014/main" id="{00000000-0008-0000-0200-00006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1" name="Check Box 365" hidden="1">
              <a:extLst>
                <a:ext uri="{63B3BB69-23CF-44E3-9099-C40C66FF867C}">
                  <a14:compatExt spid="_x0000_s4461"/>
                </a:ext>
                <a:ext uri="{FF2B5EF4-FFF2-40B4-BE49-F238E27FC236}">
                  <a16:creationId xmlns:a16="http://schemas.microsoft.com/office/drawing/2014/main" id="{00000000-0008-0000-0200-00006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2" name="Check Box 366" hidden="1">
              <a:extLst>
                <a:ext uri="{63B3BB69-23CF-44E3-9099-C40C66FF867C}">
                  <a14:compatExt spid="_x0000_s4462"/>
                </a:ext>
                <a:ext uri="{FF2B5EF4-FFF2-40B4-BE49-F238E27FC236}">
                  <a16:creationId xmlns:a16="http://schemas.microsoft.com/office/drawing/2014/main" id="{00000000-0008-0000-0200-00006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3" name="Check Box 367" hidden="1">
              <a:extLst>
                <a:ext uri="{63B3BB69-23CF-44E3-9099-C40C66FF867C}">
                  <a14:compatExt spid="_x0000_s4463"/>
                </a:ext>
                <a:ext uri="{FF2B5EF4-FFF2-40B4-BE49-F238E27FC236}">
                  <a16:creationId xmlns:a16="http://schemas.microsoft.com/office/drawing/2014/main" id="{00000000-0008-0000-0200-00006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4" name="Check Box 368" hidden="1">
              <a:extLst>
                <a:ext uri="{63B3BB69-23CF-44E3-9099-C40C66FF867C}">
                  <a14:compatExt spid="_x0000_s4464"/>
                </a:ext>
                <a:ext uri="{FF2B5EF4-FFF2-40B4-BE49-F238E27FC236}">
                  <a16:creationId xmlns:a16="http://schemas.microsoft.com/office/drawing/2014/main" id="{00000000-0008-0000-0200-00007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5" name="Check Box 369" hidden="1">
              <a:extLst>
                <a:ext uri="{63B3BB69-23CF-44E3-9099-C40C66FF867C}">
                  <a14:compatExt spid="_x0000_s4465"/>
                </a:ext>
                <a:ext uri="{FF2B5EF4-FFF2-40B4-BE49-F238E27FC236}">
                  <a16:creationId xmlns:a16="http://schemas.microsoft.com/office/drawing/2014/main" id="{00000000-0008-0000-0200-00007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6" name="Check Box 370" hidden="1">
              <a:extLst>
                <a:ext uri="{63B3BB69-23CF-44E3-9099-C40C66FF867C}">
                  <a14:compatExt spid="_x0000_s4466"/>
                </a:ext>
                <a:ext uri="{FF2B5EF4-FFF2-40B4-BE49-F238E27FC236}">
                  <a16:creationId xmlns:a16="http://schemas.microsoft.com/office/drawing/2014/main" id="{00000000-0008-0000-0200-00007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7" name="Check Box 371" hidden="1">
              <a:extLst>
                <a:ext uri="{63B3BB69-23CF-44E3-9099-C40C66FF867C}">
                  <a14:compatExt spid="_x0000_s4467"/>
                </a:ext>
                <a:ext uri="{FF2B5EF4-FFF2-40B4-BE49-F238E27FC236}">
                  <a16:creationId xmlns:a16="http://schemas.microsoft.com/office/drawing/2014/main" id="{00000000-0008-0000-0200-00007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8" name="Check Box 372" hidden="1">
              <a:extLst>
                <a:ext uri="{63B3BB69-23CF-44E3-9099-C40C66FF867C}">
                  <a14:compatExt spid="_x0000_s4468"/>
                </a:ext>
                <a:ext uri="{FF2B5EF4-FFF2-40B4-BE49-F238E27FC236}">
                  <a16:creationId xmlns:a16="http://schemas.microsoft.com/office/drawing/2014/main" id="{00000000-0008-0000-0200-00007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9" name="Check Box 373" hidden="1">
              <a:extLst>
                <a:ext uri="{63B3BB69-23CF-44E3-9099-C40C66FF867C}">
                  <a14:compatExt spid="_x0000_s4469"/>
                </a:ext>
                <a:ext uri="{FF2B5EF4-FFF2-40B4-BE49-F238E27FC236}">
                  <a16:creationId xmlns:a16="http://schemas.microsoft.com/office/drawing/2014/main" id="{00000000-0008-0000-0200-00007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70" name="Check Box 374" hidden="1">
              <a:extLst>
                <a:ext uri="{63B3BB69-23CF-44E3-9099-C40C66FF867C}">
                  <a14:compatExt spid="_x0000_s4470"/>
                </a:ext>
                <a:ext uri="{FF2B5EF4-FFF2-40B4-BE49-F238E27FC236}">
                  <a16:creationId xmlns:a16="http://schemas.microsoft.com/office/drawing/2014/main" id="{00000000-0008-0000-0200-00007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71" name="Check Box 375" hidden="1">
              <a:extLst>
                <a:ext uri="{63B3BB69-23CF-44E3-9099-C40C66FF867C}">
                  <a14:compatExt spid="_x0000_s4471"/>
                </a:ext>
                <a:ext uri="{FF2B5EF4-FFF2-40B4-BE49-F238E27FC236}">
                  <a16:creationId xmlns:a16="http://schemas.microsoft.com/office/drawing/2014/main" id="{00000000-0008-0000-0200-00007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72" name="Check Box 376" hidden="1">
              <a:extLst>
                <a:ext uri="{63B3BB69-23CF-44E3-9099-C40C66FF867C}">
                  <a14:compatExt spid="_x0000_s4472"/>
                </a:ext>
                <a:ext uri="{FF2B5EF4-FFF2-40B4-BE49-F238E27FC236}">
                  <a16:creationId xmlns:a16="http://schemas.microsoft.com/office/drawing/2014/main" id="{00000000-0008-0000-0200-00007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73" name="Check Box 377" hidden="1">
              <a:extLst>
                <a:ext uri="{63B3BB69-23CF-44E3-9099-C40C66FF867C}">
                  <a14:compatExt spid="_x0000_s4473"/>
                </a:ext>
                <a:ext uri="{FF2B5EF4-FFF2-40B4-BE49-F238E27FC236}">
                  <a16:creationId xmlns:a16="http://schemas.microsoft.com/office/drawing/2014/main" id="{00000000-0008-0000-0200-00007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74" name="Check Box 378" hidden="1">
              <a:extLst>
                <a:ext uri="{63B3BB69-23CF-44E3-9099-C40C66FF867C}">
                  <a14:compatExt spid="_x0000_s4474"/>
                </a:ext>
                <a:ext uri="{FF2B5EF4-FFF2-40B4-BE49-F238E27FC236}">
                  <a16:creationId xmlns:a16="http://schemas.microsoft.com/office/drawing/2014/main" id="{00000000-0008-0000-0200-00007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29</xdr:row>
          <xdr:rowOff>88900</xdr:rowOff>
        </xdr:to>
        <xdr:sp macro="" textlink="">
          <xdr:nvSpPr>
            <xdr:cNvPr id="4475" name="Check Box 379" hidden="1">
              <a:extLst>
                <a:ext uri="{63B3BB69-23CF-44E3-9099-C40C66FF867C}">
                  <a14:compatExt spid="_x0000_s4475"/>
                </a:ext>
                <a:ext uri="{FF2B5EF4-FFF2-40B4-BE49-F238E27FC236}">
                  <a16:creationId xmlns:a16="http://schemas.microsoft.com/office/drawing/2014/main" id="{00000000-0008-0000-0200-00007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476" name="Check Box 380" hidden="1">
              <a:extLst>
                <a:ext uri="{63B3BB69-23CF-44E3-9099-C40C66FF867C}">
                  <a14:compatExt spid="_x0000_s4476"/>
                </a:ext>
                <a:ext uri="{FF2B5EF4-FFF2-40B4-BE49-F238E27FC236}">
                  <a16:creationId xmlns:a16="http://schemas.microsoft.com/office/drawing/2014/main" id="{00000000-0008-0000-0200-00007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50800</xdr:rowOff>
        </xdr:to>
        <xdr:sp macro="" textlink="">
          <xdr:nvSpPr>
            <xdr:cNvPr id="4477" name="Check Box 381" hidden="1">
              <a:extLst>
                <a:ext uri="{63B3BB69-23CF-44E3-9099-C40C66FF867C}">
                  <a14:compatExt spid="_x0000_s4477"/>
                </a:ext>
                <a:ext uri="{FF2B5EF4-FFF2-40B4-BE49-F238E27FC236}">
                  <a16:creationId xmlns:a16="http://schemas.microsoft.com/office/drawing/2014/main" id="{00000000-0008-0000-0200-00007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29</xdr:row>
          <xdr:rowOff>88900</xdr:rowOff>
        </xdr:to>
        <xdr:sp macro="" textlink="">
          <xdr:nvSpPr>
            <xdr:cNvPr id="4478" name="Check Box 382" hidden="1">
              <a:extLst>
                <a:ext uri="{63B3BB69-23CF-44E3-9099-C40C66FF867C}">
                  <a14:compatExt spid="_x0000_s4478"/>
                </a:ext>
                <a:ext uri="{FF2B5EF4-FFF2-40B4-BE49-F238E27FC236}">
                  <a16:creationId xmlns:a16="http://schemas.microsoft.com/office/drawing/2014/main" id="{00000000-0008-0000-0200-00007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79" name="Check Box 383" hidden="1">
              <a:extLst>
                <a:ext uri="{63B3BB69-23CF-44E3-9099-C40C66FF867C}">
                  <a14:compatExt spid="_x0000_s4479"/>
                </a:ext>
                <a:ext uri="{FF2B5EF4-FFF2-40B4-BE49-F238E27FC236}">
                  <a16:creationId xmlns:a16="http://schemas.microsoft.com/office/drawing/2014/main" id="{00000000-0008-0000-0200-00007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0" name="Check Box 384" hidden="1">
              <a:extLst>
                <a:ext uri="{63B3BB69-23CF-44E3-9099-C40C66FF867C}">
                  <a14:compatExt spid="_x0000_s4480"/>
                </a:ext>
                <a:ext uri="{FF2B5EF4-FFF2-40B4-BE49-F238E27FC236}">
                  <a16:creationId xmlns:a16="http://schemas.microsoft.com/office/drawing/2014/main" id="{00000000-0008-0000-0200-00008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1" name="Check Box 385" hidden="1">
              <a:extLst>
                <a:ext uri="{63B3BB69-23CF-44E3-9099-C40C66FF867C}">
                  <a14:compatExt spid="_x0000_s4481"/>
                </a:ext>
                <a:ext uri="{FF2B5EF4-FFF2-40B4-BE49-F238E27FC236}">
                  <a16:creationId xmlns:a16="http://schemas.microsoft.com/office/drawing/2014/main" id="{00000000-0008-0000-0200-00008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2" name="Check Box 386" hidden="1">
              <a:extLst>
                <a:ext uri="{63B3BB69-23CF-44E3-9099-C40C66FF867C}">
                  <a14:compatExt spid="_x0000_s4482"/>
                </a:ext>
                <a:ext uri="{FF2B5EF4-FFF2-40B4-BE49-F238E27FC236}">
                  <a16:creationId xmlns:a16="http://schemas.microsoft.com/office/drawing/2014/main" id="{00000000-0008-0000-0200-00008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3" name="Check Box 387" hidden="1">
              <a:extLst>
                <a:ext uri="{63B3BB69-23CF-44E3-9099-C40C66FF867C}">
                  <a14:compatExt spid="_x0000_s4483"/>
                </a:ext>
                <a:ext uri="{FF2B5EF4-FFF2-40B4-BE49-F238E27FC236}">
                  <a16:creationId xmlns:a16="http://schemas.microsoft.com/office/drawing/2014/main" id="{00000000-0008-0000-0200-00008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4" name="Check Box 388" hidden="1">
              <a:extLst>
                <a:ext uri="{63B3BB69-23CF-44E3-9099-C40C66FF867C}">
                  <a14:compatExt spid="_x0000_s4484"/>
                </a:ext>
                <a:ext uri="{FF2B5EF4-FFF2-40B4-BE49-F238E27FC236}">
                  <a16:creationId xmlns:a16="http://schemas.microsoft.com/office/drawing/2014/main" id="{00000000-0008-0000-0200-00008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5" name="Check Box 389" hidden="1">
              <a:extLst>
                <a:ext uri="{63B3BB69-23CF-44E3-9099-C40C66FF867C}">
                  <a14:compatExt spid="_x0000_s4485"/>
                </a:ext>
                <a:ext uri="{FF2B5EF4-FFF2-40B4-BE49-F238E27FC236}">
                  <a16:creationId xmlns:a16="http://schemas.microsoft.com/office/drawing/2014/main" id="{00000000-0008-0000-0200-00008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486" name="Check Box 390" hidden="1">
              <a:extLst>
                <a:ext uri="{63B3BB69-23CF-44E3-9099-C40C66FF867C}">
                  <a14:compatExt spid="_x0000_s4486"/>
                </a:ext>
                <a:ext uri="{FF2B5EF4-FFF2-40B4-BE49-F238E27FC236}">
                  <a16:creationId xmlns:a16="http://schemas.microsoft.com/office/drawing/2014/main" id="{00000000-0008-0000-0200-00008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7" name="Check Box 391" hidden="1">
              <a:extLst>
                <a:ext uri="{63B3BB69-23CF-44E3-9099-C40C66FF867C}">
                  <a14:compatExt spid="_x0000_s4487"/>
                </a:ext>
                <a:ext uri="{FF2B5EF4-FFF2-40B4-BE49-F238E27FC236}">
                  <a16:creationId xmlns:a16="http://schemas.microsoft.com/office/drawing/2014/main" id="{00000000-0008-0000-0200-00008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8" name="Check Box 392" hidden="1">
              <a:extLst>
                <a:ext uri="{63B3BB69-23CF-44E3-9099-C40C66FF867C}">
                  <a14:compatExt spid="_x0000_s4488"/>
                </a:ext>
                <a:ext uri="{FF2B5EF4-FFF2-40B4-BE49-F238E27FC236}">
                  <a16:creationId xmlns:a16="http://schemas.microsoft.com/office/drawing/2014/main" id="{00000000-0008-0000-0200-00008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9" name="Check Box 393" hidden="1">
              <a:extLst>
                <a:ext uri="{63B3BB69-23CF-44E3-9099-C40C66FF867C}">
                  <a14:compatExt spid="_x0000_s4489"/>
                </a:ext>
                <a:ext uri="{FF2B5EF4-FFF2-40B4-BE49-F238E27FC236}">
                  <a16:creationId xmlns:a16="http://schemas.microsoft.com/office/drawing/2014/main" id="{00000000-0008-0000-0200-00008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90" name="Check Box 394" hidden="1">
              <a:extLst>
                <a:ext uri="{63B3BB69-23CF-44E3-9099-C40C66FF867C}">
                  <a14:compatExt spid="_x0000_s4490"/>
                </a:ext>
                <a:ext uri="{FF2B5EF4-FFF2-40B4-BE49-F238E27FC236}">
                  <a16:creationId xmlns:a16="http://schemas.microsoft.com/office/drawing/2014/main" id="{00000000-0008-0000-0200-00008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91" name="Check Box 395" hidden="1">
              <a:extLst>
                <a:ext uri="{63B3BB69-23CF-44E3-9099-C40C66FF867C}">
                  <a14:compatExt spid="_x0000_s4491"/>
                </a:ext>
                <a:ext uri="{FF2B5EF4-FFF2-40B4-BE49-F238E27FC236}">
                  <a16:creationId xmlns:a16="http://schemas.microsoft.com/office/drawing/2014/main" id="{00000000-0008-0000-0200-00008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92" name="Check Box 396" hidden="1">
              <a:extLst>
                <a:ext uri="{63B3BB69-23CF-44E3-9099-C40C66FF867C}">
                  <a14:compatExt spid="_x0000_s4492"/>
                </a:ext>
                <a:ext uri="{FF2B5EF4-FFF2-40B4-BE49-F238E27FC236}">
                  <a16:creationId xmlns:a16="http://schemas.microsoft.com/office/drawing/2014/main" id="{00000000-0008-0000-0200-00008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93" name="Check Box 397" hidden="1">
              <a:extLst>
                <a:ext uri="{63B3BB69-23CF-44E3-9099-C40C66FF867C}">
                  <a14:compatExt spid="_x0000_s4493"/>
                </a:ext>
                <a:ext uri="{FF2B5EF4-FFF2-40B4-BE49-F238E27FC236}">
                  <a16:creationId xmlns:a16="http://schemas.microsoft.com/office/drawing/2014/main" id="{00000000-0008-0000-0200-00008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94" name="Check Box 398" hidden="1">
              <a:extLst>
                <a:ext uri="{63B3BB69-23CF-44E3-9099-C40C66FF867C}">
                  <a14:compatExt spid="_x0000_s4494"/>
                </a:ext>
                <a:ext uri="{FF2B5EF4-FFF2-40B4-BE49-F238E27FC236}">
                  <a16:creationId xmlns:a16="http://schemas.microsoft.com/office/drawing/2014/main" id="{00000000-0008-0000-0200-00008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95" name="Check Box 399" hidden="1">
              <a:extLst>
                <a:ext uri="{63B3BB69-23CF-44E3-9099-C40C66FF867C}">
                  <a14:compatExt spid="_x0000_s4495"/>
                </a:ext>
                <a:ext uri="{FF2B5EF4-FFF2-40B4-BE49-F238E27FC236}">
                  <a16:creationId xmlns:a16="http://schemas.microsoft.com/office/drawing/2014/main" id="{00000000-0008-0000-0200-00008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88900</xdr:rowOff>
        </xdr:to>
        <xdr:sp macro="" textlink="">
          <xdr:nvSpPr>
            <xdr:cNvPr id="4496" name="Check Box 400" hidden="1">
              <a:extLst>
                <a:ext uri="{63B3BB69-23CF-44E3-9099-C40C66FF867C}">
                  <a14:compatExt spid="_x0000_s4496"/>
                </a:ext>
                <a:ext uri="{FF2B5EF4-FFF2-40B4-BE49-F238E27FC236}">
                  <a16:creationId xmlns:a16="http://schemas.microsoft.com/office/drawing/2014/main" id="{00000000-0008-0000-0200-00009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88900</xdr:rowOff>
        </xdr:to>
        <xdr:sp macro="" textlink="">
          <xdr:nvSpPr>
            <xdr:cNvPr id="4497" name="Check Box 401" hidden="1">
              <a:extLst>
                <a:ext uri="{63B3BB69-23CF-44E3-9099-C40C66FF867C}">
                  <a14:compatExt spid="_x0000_s4497"/>
                </a:ext>
                <a:ext uri="{FF2B5EF4-FFF2-40B4-BE49-F238E27FC236}">
                  <a16:creationId xmlns:a16="http://schemas.microsoft.com/office/drawing/2014/main" id="{00000000-0008-0000-0200-00009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88900</xdr:rowOff>
        </xdr:to>
        <xdr:sp macro="" textlink="">
          <xdr:nvSpPr>
            <xdr:cNvPr id="4498" name="Check Box 402" hidden="1">
              <a:extLst>
                <a:ext uri="{63B3BB69-23CF-44E3-9099-C40C66FF867C}">
                  <a14:compatExt spid="_x0000_s4498"/>
                </a:ext>
                <a:ext uri="{FF2B5EF4-FFF2-40B4-BE49-F238E27FC236}">
                  <a16:creationId xmlns:a16="http://schemas.microsoft.com/office/drawing/2014/main" id="{00000000-0008-0000-0200-00009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99" name="Check Box 403" hidden="1">
              <a:extLst>
                <a:ext uri="{63B3BB69-23CF-44E3-9099-C40C66FF867C}">
                  <a14:compatExt spid="_x0000_s4499"/>
                </a:ext>
                <a:ext uri="{FF2B5EF4-FFF2-40B4-BE49-F238E27FC236}">
                  <a16:creationId xmlns:a16="http://schemas.microsoft.com/office/drawing/2014/main" id="{00000000-0008-0000-0200-00009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0" name="Check Box 404" hidden="1">
              <a:extLst>
                <a:ext uri="{63B3BB69-23CF-44E3-9099-C40C66FF867C}">
                  <a14:compatExt spid="_x0000_s4500"/>
                </a:ext>
                <a:ext uri="{FF2B5EF4-FFF2-40B4-BE49-F238E27FC236}">
                  <a16:creationId xmlns:a16="http://schemas.microsoft.com/office/drawing/2014/main" id="{00000000-0008-0000-0200-00009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1" name="Check Box 405" hidden="1">
              <a:extLst>
                <a:ext uri="{63B3BB69-23CF-44E3-9099-C40C66FF867C}">
                  <a14:compatExt spid="_x0000_s4501"/>
                </a:ext>
                <a:ext uri="{FF2B5EF4-FFF2-40B4-BE49-F238E27FC236}">
                  <a16:creationId xmlns:a16="http://schemas.microsoft.com/office/drawing/2014/main" id="{00000000-0008-0000-0200-00009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2" name="Check Box 406" hidden="1">
              <a:extLst>
                <a:ext uri="{63B3BB69-23CF-44E3-9099-C40C66FF867C}">
                  <a14:compatExt spid="_x0000_s4502"/>
                </a:ext>
                <a:ext uri="{FF2B5EF4-FFF2-40B4-BE49-F238E27FC236}">
                  <a16:creationId xmlns:a16="http://schemas.microsoft.com/office/drawing/2014/main" id="{00000000-0008-0000-0200-00009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3" name="Check Box 407" hidden="1">
              <a:extLst>
                <a:ext uri="{63B3BB69-23CF-44E3-9099-C40C66FF867C}">
                  <a14:compatExt spid="_x0000_s4503"/>
                </a:ext>
                <a:ext uri="{FF2B5EF4-FFF2-40B4-BE49-F238E27FC236}">
                  <a16:creationId xmlns:a16="http://schemas.microsoft.com/office/drawing/2014/main" id="{00000000-0008-0000-0200-00009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4" name="Check Box 408" hidden="1">
              <a:extLst>
                <a:ext uri="{63B3BB69-23CF-44E3-9099-C40C66FF867C}">
                  <a14:compatExt spid="_x0000_s4504"/>
                </a:ext>
                <a:ext uri="{FF2B5EF4-FFF2-40B4-BE49-F238E27FC236}">
                  <a16:creationId xmlns:a16="http://schemas.microsoft.com/office/drawing/2014/main" id="{00000000-0008-0000-0200-00009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5" name="Check Box 409" hidden="1">
              <a:extLst>
                <a:ext uri="{63B3BB69-23CF-44E3-9099-C40C66FF867C}">
                  <a14:compatExt spid="_x0000_s4505"/>
                </a:ext>
                <a:ext uri="{FF2B5EF4-FFF2-40B4-BE49-F238E27FC236}">
                  <a16:creationId xmlns:a16="http://schemas.microsoft.com/office/drawing/2014/main" id="{00000000-0008-0000-0200-00009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6" name="Check Box 410" hidden="1">
              <a:extLst>
                <a:ext uri="{63B3BB69-23CF-44E3-9099-C40C66FF867C}">
                  <a14:compatExt spid="_x0000_s4506"/>
                </a:ext>
                <a:ext uri="{FF2B5EF4-FFF2-40B4-BE49-F238E27FC236}">
                  <a16:creationId xmlns:a16="http://schemas.microsoft.com/office/drawing/2014/main" id="{00000000-0008-0000-0200-00009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7" name="Check Box 411" hidden="1">
              <a:extLst>
                <a:ext uri="{63B3BB69-23CF-44E3-9099-C40C66FF867C}">
                  <a14:compatExt spid="_x0000_s4507"/>
                </a:ext>
                <a:ext uri="{FF2B5EF4-FFF2-40B4-BE49-F238E27FC236}">
                  <a16:creationId xmlns:a16="http://schemas.microsoft.com/office/drawing/2014/main" id="{00000000-0008-0000-0200-00009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8" name="Check Box 412" hidden="1">
              <a:extLst>
                <a:ext uri="{63B3BB69-23CF-44E3-9099-C40C66FF867C}">
                  <a14:compatExt spid="_x0000_s4508"/>
                </a:ext>
                <a:ext uri="{FF2B5EF4-FFF2-40B4-BE49-F238E27FC236}">
                  <a16:creationId xmlns:a16="http://schemas.microsoft.com/office/drawing/2014/main" id="{00000000-0008-0000-0200-00009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9" name="Check Box 413" hidden="1">
              <a:extLst>
                <a:ext uri="{63B3BB69-23CF-44E3-9099-C40C66FF867C}">
                  <a14:compatExt spid="_x0000_s4509"/>
                </a:ext>
                <a:ext uri="{FF2B5EF4-FFF2-40B4-BE49-F238E27FC236}">
                  <a16:creationId xmlns:a16="http://schemas.microsoft.com/office/drawing/2014/main" id="{00000000-0008-0000-0200-00009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0" name="Check Box 414" hidden="1">
              <a:extLst>
                <a:ext uri="{63B3BB69-23CF-44E3-9099-C40C66FF867C}">
                  <a14:compatExt spid="_x0000_s4510"/>
                </a:ext>
                <a:ext uri="{FF2B5EF4-FFF2-40B4-BE49-F238E27FC236}">
                  <a16:creationId xmlns:a16="http://schemas.microsoft.com/office/drawing/2014/main" id="{00000000-0008-0000-0200-00009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1" name="Check Box 415" hidden="1">
              <a:extLst>
                <a:ext uri="{63B3BB69-23CF-44E3-9099-C40C66FF867C}">
                  <a14:compatExt spid="_x0000_s4511"/>
                </a:ext>
                <a:ext uri="{FF2B5EF4-FFF2-40B4-BE49-F238E27FC236}">
                  <a16:creationId xmlns:a16="http://schemas.microsoft.com/office/drawing/2014/main" id="{00000000-0008-0000-0200-00009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2" name="Check Box 416" hidden="1">
              <a:extLst>
                <a:ext uri="{63B3BB69-23CF-44E3-9099-C40C66FF867C}">
                  <a14:compatExt spid="_x0000_s4512"/>
                </a:ext>
                <a:ext uri="{FF2B5EF4-FFF2-40B4-BE49-F238E27FC236}">
                  <a16:creationId xmlns:a16="http://schemas.microsoft.com/office/drawing/2014/main" id="{00000000-0008-0000-0200-0000A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3" name="Check Box 417" hidden="1">
              <a:extLst>
                <a:ext uri="{63B3BB69-23CF-44E3-9099-C40C66FF867C}">
                  <a14:compatExt spid="_x0000_s4513"/>
                </a:ext>
                <a:ext uri="{FF2B5EF4-FFF2-40B4-BE49-F238E27FC236}">
                  <a16:creationId xmlns:a16="http://schemas.microsoft.com/office/drawing/2014/main" id="{00000000-0008-0000-0200-0000A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4" name="Check Box 418" hidden="1">
              <a:extLst>
                <a:ext uri="{63B3BB69-23CF-44E3-9099-C40C66FF867C}">
                  <a14:compatExt spid="_x0000_s4514"/>
                </a:ext>
                <a:ext uri="{FF2B5EF4-FFF2-40B4-BE49-F238E27FC236}">
                  <a16:creationId xmlns:a16="http://schemas.microsoft.com/office/drawing/2014/main" id="{00000000-0008-0000-0200-0000A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5" name="Check Box 419" hidden="1">
              <a:extLst>
                <a:ext uri="{63B3BB69-23CF-44E3-9099-C40C66FF867C}">
                  <a14:compatExt spid="_x0000_s4515"/>
                </a:ext>
                <a:ext uri="{FF2B5EF4-FFF2-40B4-BE49-F238E27FC236}">
                  <a16:creationId xmlns:a16="http://schemas.microsoft.com/office/drawing/2014/main" id="{00000000-0008-0000-0200-0000A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6" name="Check Box 420" hidden="1">
              <a:extLst>
                <a:ext uri="{63B3BB69-23CF-44E3-9099-C40C66FF867C}">
                  <a14:compatExt spid="_x0000_s4516"/>
                </a:ext>
                <a:ext uri="{FF2B5EF4-FFF2-40B4-BE49-F238E27FC236}">
                  <a16:creationId xmlns:a16="http://schemas.microsoft.com/office/drawing/2014/main" id="{00000000-0008-0000-0200-0000A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7" name="Check Box 421" hidden="1">
              <a:extLst>
                <a:ext uri="{63B3BB69-23CF-44E3-9099-C40C66FF867C}">
                  <a14:compatExt spid="_x0000_s4517"/>
                </a:ext>
                <a:ext uri="{FF2B5EF4-FFF2-40B4-BE49-F238E27FC236}">
                  <a16:creationId xmlns:a16="http://schemas.microsoft.com/office/drawing/2014/main" id="{00000000-0008-0000-0200-0000A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8" name="Check Box 422" hidden="1">
              <a:extLst>
                <a:ext uri="{63B3BB69-23CF-44E3-9099-C40C66FF867C}">
                  <a14:compatExt spid="_x0000_s4518"/>
                </a:ext>
                <a:ext uri="{FF2B5EF4-FFF2-40B4-BE49-F238E27FC236}">
                  <a16:creationId xmlns:a16="http://schemas.microsoft.com/office/drawing/2014/main" id="{00000000-0008-0000-0200-0000A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9" name="Check Box 423" hidden="1">
              <a:extLst>
                <a:ext uri="{63B3BB69-23CF-44E3-9099-C40C66FF867C}">
                  <a14:compatExt spid="_x0000_s4519"/>
                </a:ext>
                <a:ext uri="{FF2B5EF4-FFF2-40B4-BE49-F238E27FC236}">
                  <a16:creationId xmlns:a16="http://schemas.microsoft.com/office/drawing/2014/main" id="{00000000-0008-0000-0200-0000A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20" name="Check Box 424" hidden="1">
              <a:extLst>
                <a:ext uri="{63B3BB69-23CF-44E3-9099-C40C66FF867C}">
                  <a14:compatExt spid="_x0000_s4520"/>
                </a:ext>
                <a:ext uri="{FF2B5EF4-FFF2-40B4-BE49-F238E27FC236}">
                  <a16:creationId xmlns:a16="http://schemas.microsoft.com/office/drawing/2014/main" id="{00000000-0008-0000-0200-0000A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21" name="Check Box 425" hidden="1">
              <a:extLst>
                <a:ext uri="{63B3BB69-23CF-44E3-9099-C40C66FF867C}">
                  <a14:compatExt spid="_x0000_s4521"/>
                </a:ext>
                <a:ext uri="{FF2B5EF4-FFF2-40B4-BE49-F238E27FC236}">
                  <a16:creationId xmlns:a16="http://schemas.microsoft.com/office/drawing/2014/main" id="{00000000-0008-0000-0200-0000A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22" name="Check Box 426" hidden="1">
              <a:extLst>
                <a:ext uri="{63B3BB69-23CF-44E3-9099-C40C66FF867C}">
                  <a14:compatExt spid="_x0000_s4522"/>
                </a:ext>
                <a:ext uri="{FF2B5EF4-FFF2-40B4-BE49-F238E27FC236}">
                  <a16:creationId xmlns:a16="http://schemas.microsoft.com/office/drawing/2014/main" id="{00000000-0008-0000-0200-0000A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23" name="Check Box 427" hidden="1">
              <a:extLst>
                <a:ext uri="{63B3BB69-23CF-44E3-9099-C40C66FF867C}">
                  <a14:compatExt spid="_x0000_s4523"/>
                </a:ext>
                <a:ext uri="{FF2B5EF4-FFF2-40B4-BE49-F238E27FC236}">
                  <a16:creationId xmlns:a16="http://schemas.microsoft.com/office/drawing/2014/main" id="{00000000-0008-0000-0200-0000A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24" name="Check Box 428" hidden="1">
              <a:extLst>
                <a:ext uri="{63B3BB69-23CF-44E3-9099-C40C66FF867C}">
                  <a14:compatExt spid="_x0000_s4524"/>
                </a:ext>
                <a:ext uri="{FF2B5EF4-FFF2-40B4-BE49-F238E27FC236}">
                  <a16:creationId xmlns:a16="http://schemas.microsoft.com/office/drawing/2014/main" id="{00000000-0008-0000-0200-0000A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25" name="Check Box 429" hidden="1">
              <a:extLst>
                <a:ext uri="{63B3BB69-23CF-44E3-9099-C40C66FF867C}">
                  <a14:compatExt spid="_x0000_s4525"/>
                </a:ext>
                <a:ext uri="{FF2B5EF4-FFF2-40B4-BE49-F238E27FC236}">
                  <a16:creationId xmlns:a16="http://schemas.microsoft.com/office/drawing/2014/main" id="{00000000-0008-0000-0200-0000A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26" name="Check Box 430" hidden="1">
              <a:extLst>
                <a:ext uri="{63B3BB69-23CF-44E3-9099-C40C66FF867C}">
                  <a14:compatExt spid="_x0000_s4526"/>
                </a:ext>
                <a:ext uri="{FF2B5EF4-FFF2-40B4-BE49-F238E27FC236}">
                  <a16:creationId xmlns:a16="http://schemas.microsoft.com/office/drawing/2014/main" id="{00000000-0008-0000-0200-0000A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27" name="Check Box 431" hidden="1">
              <a:extLst>
                <a:ext uri="{63B3BB69-23CF-44E3-9099-C40C66FF867C}">
                  <a14:compatExt spid="_x0000_s4527"/>
                </a:ext>
                <a:ext uri="{FF2B5EF4-FFF2-40B4-BE49-F238E27FC236}">
                  <a16:creationId xmlns:a16="http://schemas.microsoft.com/office/drawing/2014/main" id="{00000000-0008-0000-0200-0000A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28" name="Check Box 432" hidden="1">
              <a:extLst>
                <a:ext uri="{63B3BB69-23CF-44E3-9099-C40C66FF867C}">
                  <a14:compatExt spid="_x0000_s4528"/>
                </a:ext>
                <a:ext uri="{FF2B5EF4-FFF2-40B4-BE49-F238E27FC236}">
                  <a16:creationId xmlns:a16="http://schemas.microsoft.com/office/drawing/2014/main" id="{00000000-0008-0000-0200-0000B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29" name="Check Box 433" hidden="1">
              <a:extLst>
                <a:ext uri="{63B3BB69-23CF-44E3-9099-C40C66FF867C}">
                  <a14:compatExt spid="_x0000_s4529"/>
                </a:ext>
                <a:ext uri="{FF2B5EF4-FFF2-40B4-BE49-F238E27FC236}">
                  <a16:creationId xmlns:a16="http://schemas.microsoft.com/office/drawing/2014/main" id="{00000000-0008-0000-0200-0000B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30" name="Check Box 434" hidden="1">
              <a:extLst>
                <a:ext uri="{63B3BB69-23CF-44E3-9099-C40C66FF867C}">
                  <a14:compatExt spid="_x0000_s4530"/>
                </a:ext>
                <a:ext uri="{FF2B5EF4-FFF2-40B4-BE49-F238E27FC236}">
                  <a16:creationId xmlns:a16="http://schemas.microsoft.com/office/drawing/2014/main" id="{00000000-0008-0000-0200-0000B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31" name="Check Box 435" hidden="1">
              <a:extLst>
                <a:ext uri="{63B3BB69-23CF-44E3-9099-C40C66FF867C}">
                  <a14:compatExt spid="_x0000_s4531"/>
                </a:ext>
                <a:ext uri="{FF2B5EF4-FFF2-40B4-BE49-F238E27FC236}">
                  <a16:creationId xmlns:a16="http://schemas.microsoft.com/office/drawing/2014/main" id="{00000000-0008-0000-0200-0000B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32" name="Check Box 436" hidden="1">
              <a:extLst>
                <a:ext uri="{63B3BB69-23CF-44E3-9099-C40C66FF867C}">
                  <a14:compatExt spid="_x0000_s4532"/>
                </a:ext>
                <a:ext uri="{FF2B5EF4-FFF2-40B4-BE49-F238E27FC236}">
                  <a16:creationId xmlns:a16="http://schemas.microsoft.com/office/drawing/2014/main" id="{00000000-0008-0000-0200-0000B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33" name="Check Box 437" hidden="1">
              <a:extLst>
                <a:ext uri="{63B3BB69-23CF-44E3-9099-C40C66FF867C}">
                  <a14:compatExt spid="_x0000_s4533"/>
                </a:ext>
                <a:ext uri="{FF2B5EF4-FFF2-40B4-BE49-F238E27FC236}">
                  <a16:creationId xmlns:a16="http://schemas.microsoft.com/office/drawing/2014/main" id="{00000000-0008-0000-0200-0000B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34" name="Check Box 438" hidden="1">
              <a:extLst>
                <a:ext uri="{63B3BB69-23CF-44E3-9099-C40C66FF867C}">
                  <a14:compatExt spid="_x0000_s4534"/>
                </a:ext>
                <a:ext uri="{FF2B5EF4-FFF2-40B4-BE49-F238E27FC236}">
                  <a16:creationId xmlns:a16="http://schemas.microsoft.com/office/drawing/2014/main" id="{00000000-0008-0000-0200-0000B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35" name="Check Box 439" hidden="1">
              <a:extLst>
                <a:ext uri="{63B3BB69-23CF-44E3-9099-C40C66FF867C}">
                  <a14:compatExt spid="_x0000_s4535"/>
                </a:ext>
                <a:ext uri="{FF2B5EF4-FFF2-40B4-BE49-F238E27FC236}">
                  <a16:creationId xmlns:a16="http://schemas.microsoft.com/office/drawing/2014/main" id="{00000000-0008-0000-0200-0000B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36" name="Check Box 440" hidden="1">
              <a:extLst>
                <a:ext uri="{63B3BB69-23CF-44E3-9099-C40C66FF867C}">
                  <a14:compatExt spid="_x0000_s4536"/>
                </a:ext>
                <a:ext uri="{FF2B5EF4-FFF2-40B4-BE49-F238E27FC236}">
                  <a16:creationId xmlns:a16="http://schemas.microsoft.com/office/drawing/2014/main" id="{00000000-0008-0000-0200-0000B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37" name="Check Box 441" hidden="1">
              <a:extLst>
                <a:ext uri="{63B3BB69-23CF-44E3-9099-C40C66FF867C}">
                  <a14:compatExt spid="_x0000_s4537"/>
                </a:ext>
                <a:ext uri="{FF2B5EF4-FFF2-40B4-BE49-F238E27FC236}">
                  <a16:creationId xmlns:a16="http://schemas.microsoft.com/office/drawing/2014/main" id="{00000000-0008-0000-0200-0000B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38" name="Check Box 442" hidden="1">
              <a:extLst>
                <a:ext uri="{63B3BB69-23CF-44E3-9099-C40C66FF867C}">
                  <a14:compatExt spid="_x0000_s4538"/>
                </a:ext>
                <a:ext uri="{FF2B5EF4-FFF2-40B4-BE49-F238E27FC236}">
                  <a16:creationId xmlns:a16="http://schemas.microsoft.com/office/drawing/2014/main" id="{00000000-0008-0000-0200-0000B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39" name="Check Box 443" hidden="1">
              <a:extLst>
                <a:ext uri="{63B3BB69-23CF-44E3-9099-C40C66FF867C}">
                  <a14:compatExt spid="_x0000_s4539"/>
                </a:ext>
                <a:ext uri="{FF2B5EF4-FFF2-40B4-BE49-F238E27FC236}">
                  <a16:creationId xmlns:a16="http://schemas.microsoft.com/office/drawing/2014/main" id="{00000000-0008-0000-0200-0000B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40" name="Check Box 444" hidden="1">
              <a:extLst>
                <a:ext uri="{63B3BB69-23CF-44E3-9099-C40C66FF867C}">
                  <a14:compatExt spid="_x0000_s4540"/>
                </a:ext>
                <a:ext uri="{FF2B5EF4-FFF2-40B4-BE49-F238E27FC236}">
                  <a16:creationId xmlns:a16="http://schemas.microsoft.com/office/drawing/2014/main" id="{00000000-0008-0000-0200-0000B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41" name="Check Box 445" hidden="1">
              <a:extLst>
                <a:ext uri="{63B3BB69-23CF-44E3-9099-C40C66FF867C}">
                  <a14:compatExt spid="_x0000_s4541"/>
                </a:ext>
                <a:ext uri="{FF2B5EF4-FFF2-40B4-BE49-F238E27FC236}">
                  <a16:creationId xmlns:a16="http://schemas.microsoft.com/office/drawing/2014/main" id="{00000000-0008-0000-0200-0000B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42" name="Check Box 446" hidden="1">
              <a:extLst>
                <a:ext uri="{63B3BB69-23CF-44E3-9099-C40C66FF867C}">
                  <a14:compatExt spid="_x0000_s4542"/>
                </a:ext>
                <a:ext uri="{FF2B5EF4-FFF2-40B4-BE49-F238E27FC236}">
                  <a16:creationId xmlns:a16="http://schemas.microsoft.com/office/drawing/2014/main" id="{00000000-0008-0000-0200-0000B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43" name="Check Box 447" hidden="1">
              <a:extLst>
                <a:ext uri="{63B3BB69-23CF-44E3-9099-C40C66FF867C}">
                  <a14:compatExt spid="_x0000_s4543"/>
                </a:ext>
                <a:ext uri="{FF2B5EF4-FFF2-40B4-BE49-F238E27FC236}">
                  <a16:creationId xmlns:a16="http://schemas.microsoft.com/office/drawing/2014/main" id="{00000000-0008-0000-0200-0000B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44" name="Check Box 448" hidden="1">
              <a:extLst>
                <a:ext uri="{63B3BB69-23CF-44E3-9099-C40C66FF867C}">
                  <a14:compatExt spid="_x0000_s4544"/>
                </a:ext>
                <a:ext uri="{FF2B5EF4-FFF2-40B4-BE49-F238E27FC236}">
                  <a16:creationId xmlns:a16="http://schemas.microsoft.com/office/drawing/2014/main" id="{00000000-0008-0000-0200-0000C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45" name="Check Box 449" hidden="1">
              <a:extLst>
                <a:ext uri="{63B3BB69-23CF-44E3-9099-C40C66FF867C}">
                  <a14:compatExt spid="_x0000_s4545"/>
                </a:ext>
                <a:ext uri="{FF2B5EF4-FFF2-40B4-BE49-F238E27FC236}">
                  <a16:creationId xmlns:a16="http://schemas.microsoft.com/office/drawing/2014/main" id="{00000000-0008-0000-0200-0000C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46" name="Check Box 450" hidden="1">
              <a:extLst>
                <a:ext uri="{63B3BB69-23CF-44E3-9099-C40C66FF867C}">
                  <a14:compatExt spid="_x0000_s4546"/>
                </a:ext>
                <a:ext uri="{FF2B5EF4-FFF2-40B4-BE49-F238E27FC236}">
                  <a16:creationId xmlns:a16="http://schemas.microsoft.com/office/drawing/2014/main" id="{00000000-0008-0000-0200-0000C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47" name="Check Box 451" hidden="1">
              <a:extLst>
                <a:ext uri="{63B3BB69-23CF-44E3-9099-C40C66FF867C}">
                  <a14:compatExt spid="_x0000_s4547"/>
                </a:ext>
                <a:ext uri="{FF2B5EF4-FFF2-40B4-BE49-F238E27FC236}">
                  <a16:creationId xmlns:a16="http://schemas.microsoft.com/office/drawing/2014/main" id="{00000000-0008-0000-0200-0000C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48" name="Check Box 452" hidden="1">
              <a:extLst>
                <a:ext uri="{63B3BB69-23CF-44E3-9099-C40C66FF867C}">
                  <a14:compatExt spid="_x0000_s4548"/>
                </a:ext>
                <a:ext uri="{FF2B5EF4-FFF2-40B4-BE49-F238E27FC236}">
                  <a16:creationId xmlns:a16="http://schemas.microsoft.com/office/drawing/2014/main" id="{00000000-0008-0000-0200-0000C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49" name="Check Box 453" hidden="1">
              <a:extLst>
                <a:ext uri="{63B3BB69-23CF-44E3-9099-C40C66FF867C}">
                  <a14:compatExt spid="_x0000_s4549"/>
                </a:ext>
                <a:ext uri="{FF2B5EF4-FFF2-40B4-BE49-F238E27FC236}">
                  <a16:creationId xmlns:a16="http://schemas.microsoft.com/office/drawing/2014/main" id="{00000000-0008-0000-0200-0000C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0" name="Check Box 454" hidden="1">
              <a:extLst>
                <a:ext uri="{63B3BB69-23CF-44E3-9099-C40C66FF867C}">
                  <a14:compatExt spid="_x0000_s4550"/>
                </a:ext>
                <a:ext uri="{FF2B5EF4-FFF2-40B4-BE49-F238E27FC236}">
                  <a16:creationId xmlns:a16="http://schemas.microsoft.com/office/drawing/2014/main" id="{00000000-0008-0000-0200-0000C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1" name="Check Box 455" hidden="1">
              <a:extLst>
                <a:ext uri="{63B3BB69-23CF-44E3-9099-C40C66FF867C}">
                  <a14:compatExt spid="_x0000_s4551"/>
                </a:ext>
                <a:ext uri="{FF2B5EF4-FFF2-40B4-BE49-F238E27FC236}">
                  <a16:creationId xmlns:a16="http://schemas.microsoft.com/office/drawing/2014/main" id="{00000000-0008-0000-0200-0000C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2" name="Check Box 456" hidden="1">
              <a:extLst>
                <a:ext uri="{63B3BB69-23CF-44E3-9099-C40C66FF867C}">
                  <a14:compatExt spid="_x0000_s4552"/>
                </a:ext>
                <a:ext uri="{FF2B5EF4-FFF2-40B4-BE49-F238E27FC236}">
                  <a16:creationId xmlns:a16="http://schemas.microsoft.com/office/drawing/2014/main" id="{00000000-0008-0000-0200-0000C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3" name="Check Box 457" hidden="1">
              <a:extLst>
                <a:ext uri="{63B3BB69-23CF-44E3-9099-C40C66FF867C}">
                  <a14:compatExt spid="_x0000_s4553"/>
                </a:ext>
                <a:ext uri="{FF2B5EF4-FFF2-40B4-BE49-F238E27FC236}">
                  <a16:creationId xmlns:a16="http://schemas.microsoft.com/office/drawing/2014/main" id="{00000000-0008-0000-0200-0000C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4" name="Check Box 458" hidden="1">
              <a:extLst>
                <a:ext uri="{63B3BB69-23CF-44E3-9099-C40C66FF867C}">
                  <a14:compatExt spid="_x0000_s4554"/>
                </a:ext>
                <a:ext uri="{FF2B5EF4-FFF2-40B4-BE49-F238E27FC236}">
                  <a16:creationId xmlns:a16="http://schemas.microsoft.com/office/drawing/2014/main" id="{00000000-0008-0000-0200-0000C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5" name="Check Box 459" hidden="1">
              <a:extLst>
                <a:ext uri="{63B3BB69-23CF-44E3-9099-C40C66FF867C}">
                  <a14:compatExt spid="_x0000_s4555"/>
                </a:ext>
                <a:ext uri="{FF2B5EF4-FFF2-40B4-BE49-F238E27FC236}">
                  <a16:creationId xmlns:a16="http://schemas.microsoft.com/office/drawing/2014/main" id="{00000000-0008-0000-0200-0000C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6" name="Check Box 460" hidden="1">
              <a:extLst>
                <a:ext uri="{63B3BB69-23CF-44E3-9099-C40C66FF867C}">
                  <a14:compatExt spid="_x0000_s4556"/>
                </a:ext>
                <a:ext uri="{FF2B5EF4-FFF2-40B4-BE49-F238E27FC236}">
                  <a16:creationId xmlns:a16="http://schemas.microsoft.com/office/drawing/2014/main" id="{00000000-0008-0000-0200-0000C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7" name="Check Box 461" hidden="1">
              <a:extLst>
                <a:ext uri="{63B3BB69-23CF-44E3-9099-C40C66FF867C}">
                  <a14:compatExt spid="_x0000_s4557"/>
                </a:ext>
                <a:ext uri="{FF2B5EF4-FFF2-40B4-BE49-F238E27FC236}">
                  <a16:creationId xmlns:a16="http://schemas.microsoft.com/office/drawing/2014/main" id="{00000000-0008-0000-0200-0000C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8" name="Check Box 462" hidden="1">
              <a:extLst>
                <a:ext uri="{63B3BB69-23CF-44E3-9099-C40C66FF867C}">
                  <a14:compatExt spid="_x0000_s4558"/>
                </a:ext>
                <a:ext uri="{FF2B5EF4-FFF2-40B4-BE49-F238E27FC236}">
                  <a16:creationId xmlns:a16="http://schemas.microsoft.com/office/drawing/2014/main" id="{00000000-0008-0000-0200-0000C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59" name="Check Box 463" hidden="1">
              <a:extLst>
                <a:ext uri="{63B3BB69-23CF-44E3-9099-C40C66FF867C}">
                  <a14:compatExt spid="_x0000_s4559"/>
                </a:ext>
                <a:ext uri="{FF2B5EF4-FFF2-40B4-BE49-F238E27FC236}">
                  <a16:creationId xmlns:a16="http://schemas.microsoft.com/office/drawing/2014/main" id="{00000000-0008-0000-0200-0000C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60" name="Check Box 464" hidden="1">
              <a:extLst>
                <a:ext uri="{63B3BB69-23CF-44E3-9099-C40C66FF867C}">
                  <a14:compatExt spid="_x0000_s4560"/>
                </a:ext>
                <a:ext uri="{FF2B5EF4-FFF2-40B4-BE49-F238E27FC236}">
                  <a16:creationId xmlns:a16="http://schemas.microsoft.com/office/drawing/2014/main" id="{00000000-0008-0000-0200-0000D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61" name="Check Box 465" hidden="1">
              <a:extLst>
                <a:ext uri="{63B3BB69-23CF-44E3-9099-C40C66FF867C}">
                  <a14:compatExt spid="_x0000_s4561"/>
                </a:ext>
                <a:ext uri="{FF2B5EF4-FFF2-40B4-BE49-F238E27FC236}">
                  <a16:creationId xmlns:a16="http://schemas.microsoft.com/office/drawing/2014/main" id="{00000000-0008-0000-0200-0000D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62" name="Check Box 466" hidden="1">
              <a:extLst>
                <a:ext uri="{63B3BB69-23CF-44E3-9099-C40C66FF867C}">
                  <a14:compatExt spid="_x0000_s4562"/>
                </a:ext>
                <a:ext uri="{FF2B5EF4-FFF2-40B4-BE49-F238E27FC236}">
                  <a16:creationId xmlns:a16="http://schemas.microsoft.com/office/drawing/2014/main" id="{00000000-0008-0000-0200-0000D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63" name="Check Box 467" hidden="1">
              <a:extLst>
                <a:ext uri="{63B3BB69-23CF-44E3-9099-C40C66FF867C}">
                  <a14:compatExt spid="_x0000_s4563"/>
                </a:ext>
                <a:ext uri="{FF2B5EF4-FFF2-40B4-BE49-F238E27FC236}">
                  <a16:creationId xmlns:a16="http://schemas.microsoft.com/office/drawing/2014/main" id="{00000000-0008-0000-0200-0000D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64" name="Check Box 468" hidden="1">
              <a:extLst>
                <a:ext uri="{63B3BB69-23CF-44E3-9099-C40C66FF867C}">
                  <a14:compatExt spid="_x0000_s4564"/>
                </a:ext>
                <a:ext uri="{FF2B5EF4-FFF2-40B4-BE49-F238E27FC236}">
                  <a16:creationId xmlns:a16="http://schemas.microsoft.com/office/drawing/2014/main" id="{00000000-0008-0000-0200-0000D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65" name="Check Box 469" hidden="1">
              <a:extLst>
                <a:ext uri="{63B3BB69-23CF-44E3-9099-C40C66FF867C}">
                  <a14:compatExt spid="_x0000_s4565"/>
                </a:ext>
                <a:ext uri="{FF2B5EF4-FFF2-40B4-BE49-F238E27FC236}">
                  <a16:creationId xmlns:a16="http://schemas.microsoft.com/office/drawing/2014/main" id="{00000000-0008-0000-0200-0000D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66" name="Check Box 470" hidden="1">
              <a:extLst>
                <a:ext uri="{63B3BB69-23CF-44E3-9099-C40C66FF867C}">
                  <a14:compatExt spid="_x0000_s4566"/>
                </a:ext>
                <a:ext uri="{FF2B5EF4-FFF2-40B4-BE49-F238E27FC236}">
                  <a16:creationId xmlns:a16="http://schemas.microsoft.com/office/drawing/2014/main" id="{00000000-0008-0000-0200-0000D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67" name="Check Box 471" hidden="1">
              <a:extLst>
                <a:ext uri="{63B3BB69-23CF-44E3-9099-C40C66FF867C}">
                  <a14:compatExt spid="_x0000_s4567"/>
                </a:ext>
                <a:ext uri="{FF2B5EF4-FFF2-40B4-BE49-F238E27FC236}">
                  <a16:creationId xmlns:a16="http://schemas.microsoft.com/office/drawing/2014/main" id="{00000000-0008-0000-0200-0000D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68" name="Check Box 472" hidden="1">
              <a:extLst>
                <a:ext uri="{63B3BB69-23CF-44E3-9099-C40C66FF867C}">
                  <a14:compatExt spid="_x0000_s4568"/>
                </a:ext>
                <a:ext uri="{FF2B5EF4-FFF2-40B4-BE49-F238E27FC236}">
                  <a16:creationId xmlns:a16="http://schemas.microsoft.com/office/drawing/2014/main" id="{00000000-0008-0000-0200-0000D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69" name="Check Box 473" hidden="1">
              <a:extLst>
                <a:ext uri="{63B3BB69-23CF-44E3-9099-C40C66FF867C}">
                  <a14:compatExt spid="_x0000_s4569"/>
                </a:ext>
                <a:ext uri="{FF2B5EF4-FFF2-40B4-BE49-F238E27FC236}">
                  <a16:creationId xmlns:a16="http://schemas.microsoft.com/office/drawing/2014/main" id="{00000000-0008-0000-0200-0000D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70" name="Check Box 474" hidden="1">
              <a:extLst>
                <a:ext uri="{63B3BB69-23CF-44E3-9099-C40C66FF867C}">
                  <a14:compatExt spid="_x0000_s4570"/>
                </a:ext>
                <a:ext uri="{FF2B5EF4-FFF2-40B4-BE49-F238E27FC236}">
                  <a16:creationId xmlns:a16="http://schemas.microsoft.com/office/drawing/2014/main" id="{00000000-0008-0000-0200-0000D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71" name="Check Box 475" hidden="1">
              <a:extLst>
                <a:ext uri="{63B3BB69-23CF-44E3-9099-C40C66FF867C}">
                  <a14:compatExt spid="_x0000_s4571"/>
                </a:ext>
                <a:ext uri="{FF2B5EF4-FFF2-40B4-BE49-F238E27FC236}">
                  <a16:creationId xmlns:a16="http://schemas.microsoft.com/office/drawing/2014/main" id="{00000000-0008-0000-0200-0000D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72" name="Check Box 476" hidden="1">
              <a:extLst>
                <a:ext uri="{63B3BB69-23CF-44E3-9099-C40C66FF867C}">
                  <a14:compatExt spid="_x0000_s4572"/>
                </a:ext>
                <a:ext uri="{FF2B5EF4-FFF2-40B4-BE49-F238E27FC236}">
                  <a16:creationId xmlns:a16="http://schemas.microsoft.com/office/drawing/2014/main" id="{00000000-0008-0000-0200-0000D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38100</xdr:rowOff>
        </xdr:to>
        <xdr:sp macro="" textlink="">
          <xdr:nvSpPr>
            <xdr:cNvPr id="4573" name="Check Box 477" hidden="1">
              <a:extLst>
                <a:ext uri="{63B3BB69-23CF-44E3-9099-C40C66FF867C}">
                  <a14:compatExt spid="_x0000_s4573"/>
                </a:ext>
                <a:ext uri="{FF2B5EF4-FFF2-40B4-BE49-F238E27FC236}">
                  <a16:creationId xmlns:a16="http://schemas.microsoft.com/office/drawing/2014/main" id="{00000000-0008-0000-0200-0000D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74" name="Check Box 478" hidden="1">
              <a:extLst>
                <a:ext uri="{63B3BB69-23CF-44E3-9099-C40C66FF867C}">
                  <a14:compatExt spid="_x0000_s4574"/>
                </a:ext>
                <a:ext uri="{FF2B5EF4-FFF2-40B4-BE49-F238E27FC236}">
                  <a16:creationId xmlns:a16="http://schemas.microsoft.com/office/drawing/2014/main" id="{00000000-0008-0000-0200-0000D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75" name="Check Box 479" hidden="1">
              <a:extLst>
                <a:ext uri="{63B3BB69-23CF-44E3-9099-C40C66FF867C}">
                  <a14:compatExt spid="_x0000_s4575"/>
                </a:ext>
                <a:ext uri="{FF2B5EF4-FFF2-40B4-BE49-F238E27FC236}">
                  <a16:creationId xmlns:a16="http://schemas.microsoft.com/office/drawing/2014/main" id="{00000000-0008-0000-0200-0000D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76" name="Check Box 480" hidden="1">
              <a:extLst>
                <a:ext uri="{63B3BB69-23CF-44E3-9099-C40C66FF867C}">
                  <a14:compatExt spid="_x0000_s4576"/>
                </a:ext>
                <a:ext uri="{FF2B5EF4-FFF2-40B4-BE49-F238E27FC236}">
                  <a16:creationId xmlns:a16="http://schemas.microsoft.com/office/drawing/2014/main" id="{00000000-0008-0000-0200-0000E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77" name="Check Box 481" hidden="1">
              <a:extLst>
                <a:ext uri="{63B3BB69-23CF-44E3-9099-C40C66FF867C}">
                  <a14:compatExt spid="_x0000_s4577"/>
                </a:ext>
                <a:ext uri="{FF2B5EF4-FFF2-40B4-BE49-F238E27FC236}">
                  <a16:creationId xmlns:a16="http://schemas.microsoft.com/office/drawing/2014/main" id="{00000000-0008-0000-0200-0000E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78" name="Check Box 482" hidden="1">
              <a:extLst>
                <a:ext uri="{63B3BB69-23CF-44E3-9099-C40C66FF867C}">
                  <a14:compatExt spid="_x0000_s4578"/>
                </a:ext>
                <a:ext uri="{FF2B5EF4-FFF2-40B4-BE49-F238E27FC236}">
                  <a16:creationId xmlns:a16="http://schemas.microsoft.com/office/drawing/2014/main" id="{00000000-0008-0000-0200-0000E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79" name="Check Box 483" hidden="1">
              <a:extLst>
                <a:ext uri="{63B3BB69-23CF-44E3-9099-C40C66FF867C}">
                  <a14:compatExt spid="_x0000_s4579"/>
                </a:ext>
                <a:ext uri="{FF2B5EF4-FFF2-40B4-BE49-F238E27FC236}">
                  <a16:creationId xmlns:a16="http://schemas.microsoft.com/office/drawing/2014/main" id="{00000000-0008-0000-0200-0000E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0" name="Check Box 484" hidden="1">
              <a:extLst>
                <a:ext uri="{63B3BB69-23CF-44E3-9099-C40C66FF867C}">
                  <a14:compatExt spid="_x0000_s4580"/>
                </a:ext>
                <a:ext uri="{FF2B5EF4-FFF2-40B4-BE49-F238E27FC236}">
                  <a16:creationId xmlns:a16="http://schemas.microsoft.com/office/drawing/2014/main" id="{00000000-0008-0000-0200-0000E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1" name="Check Box 485" hidden="1">
              <a:extLst>
                <a:ext uri="{63B3BB69-23CF-44E3-9099-C40C66FF867C}">
                  <a14:compatExt spid="_x0000_s4581"/>
                </a:ext>
                <a:ext uri="{FF2B5EF4-FFF2-40B4-BE49-F238E27FC236}">
                  <a16:creationId xmlns:a16="http://schemas.microsoft.com/office/drawing/2014/main" id="{00000000-0008-0000-0200-0000E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2" name="Check Box 486" hidden="1">
              <a:extLst>
                <a:ext uri="{63B3BB69-23CF-44E3-9099-C40C66FF867C}">
                  <a14:compatExt spid="_x0000_s4582"/>
                </a:ext>
                <a:ext uri="{FF2B5EF4-FFF2-40B4-BE49-F238E27FC236}">
                  <a16:creationId xmlns:a16="http://schemas.microsoft.com/office/drawing/2014/main" id="{00000000-0008-0000-0200-0000E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583" name="Check Box 487" hidden="1">
              <a:extLst>
                <a:ext uri="{63B3BB69-23CF-44E3-9099-C40C66FF867C}">
                  <a14:compatExt spid="_x0000_s4583"/>
                </a:ext>
                <a:ext uri="{FF2B5EF4-FFF2-40B4-BE49-F238E27FC236}">
                  <a16:creationId xmlns:a16="http://schemas.microsoft.com/office/drawing/2014/main" id="{00000000-0008-0000-0200-0000E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4" name="Check Box 488" hidden="1">
              <a:extLst>
                <a:ext uri="{63B3BB69-23CF-44E3-9099-C40C66FF867C}">
                  <a14:compatExt spid="_x0000_s4584"/>
                </a:ext>
                <a:ext uri="{FF2B5EF4-FFF2-40B4-BE49-F238E27FC236}">
                  <a16:creationId xmlns:a16="http://schemas.microsoft.com/office/drawing/2014/main" id="{00000000-0008-0000-0200-0000E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5" name="Check Box 489" hidden="1">
              <a:extLst>
                <a:ext uri="{63B3BB69-23CF-44E3-9099-C40C66FF867C}">
                  <a14:compatExt spid="_x0000_s4585"/>
                </a:ext>
                <a:ext uri="{FF2B5EF4-FFF2-40B4-BE49-F238E27FC236}">
                  <a16:creationId xmlns:a16="http://schemas.microsoft.com/office/drawing/2014/main" id="{00000000-0008-0000-0200-0000E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6" name="Check Box 490" hidden="1">
              <a:extLst>
                <a:ext uri="{63B3BB69-23CF-44E3-9099-C40C66FF867C}">
                  <a14:compatExt spid="_x0000_s4586"/>
                </a:ext>
                <a:ext uri="{FF2B5EF4-FFF2-40B4-BE49-F238E27FC236}">
                  <a16:creationId xmlns:a16="http://schemas.microsoft.com/office/drawing/2014/main" id="{00000000-0008-0000-0200-0000E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7" name="Check Box 491" hidden="1">
              <a:extLst>
                <a:ext uri="{63B3BB69-23CF-44E3-9099-C40C66FF867C}">
                  <a14:compatExt spid="_x0000_s4587"/>
                </a:ext>
                <a:ext uri="{FF2B5EF4-FFF2-40B4-BE49-F238E27FC236}">
                  <a16:creationId xmlns:a16="http://schemas.microsoft.com/office/drawing/2014/main" id="{00000000-0008-0000-0200-0000E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8" name="Check Box 492" hidden="1">
              <a:extLst>
                <a:ext uri="{63B3BB69-23CF-44E3-9099-C40C66FF867C}">
                  <a14:compatExt spid="_x0000_s4588"/>
                </a:ext>
                <a:ext uri="{FF2B5EF4-FFF2-40B4-BE49-F238E27FC236}">
                  <a16:creationId xmlns:a16="http://schemas.microsoft.com/office/drawing/2014/main" id="{00000000-0008-0000-0200-0000E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9" name="Check Box 493" hidden="1">
              <a:extLst>
                <a:ext uri="{63B3BB69-23CF-44E3-9099-C40C66FF867C}">
                  <a14:compatExt spid="_x0000_s4589"/>
                </a:ext>
                <a:ext uri="{FF2B5EF4-FFF2-40B4-BE49-F238E27FC236}">
                  <a16:creationId xmlns:a16="http://schemas.microsoft.com/office/drawing/2014/main" id="{00000000-0008-0000-0200-0000E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0" name="Check Box 494" hidden="1">
              <a:extLst>
                <a:ext uri="{63B3BB69-23CF-44E3-9099-C40C66FF867C}">
                  <a14:compatExt spid="_x0000_s4590"/>
                </a:ext>
                <a:ext uri="{FF2B5EF4-FFF2-40B4-BE49-F238E27FC236}">
                  <a16:creationId xmlns:a16="http://schemas.microsoft.com/office/drawing/2014/main" id="{00000000-0008-0000-0200-0000E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1" name="Check Box 495" hidden="1">
              <a:extLst>
                <a:ext uri="{63B3BB69-23CF-44E3-9099-C40C66FF867C}">
                  <a14:compatExt spid="_x0000_s4591"/>
                </a:ext>
                <a:ext uri="{FF2B5EF4-FFF2-40B4-BE49-F238E27FC236}">
                  <a16:creationId xmlns:a16="http://schemas.microsoft.com/office/drawing/2014/main" id="{00000000-0008-0000-0200-0000E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2" name="Check Box 496" hidden="1">
              <a:extLst>
                <a:ext uri="{63B3BB69-23CF-44E3-9099-C40C66FF867C}">
                  <a14:compatExt spid="_x0000_s4592"/>
                </a:ext>
                <a:ext uri="{FF2B5EF4-FFF2-40B4-BE49-F238E27FC236}">
                  <a16:creationId xmlns:a16="http://schemas.microsoft.com/office/drawing/2014/main" id="{00000000-0008-0000-0200-0000F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3" name="Check Box 497" hidden="1">
              <a:extLst>
                <a:ext uri="{63B3BB69-23CF-44E3-9099-C40C66FF867C}">
                  <a14:compatExt spid="_x0000_s4593"/>
                </a:ext>
                <a:ext uri="{FF2B5EF4-FFF2-40B4-BE49-F238E27FC236}">
                  <a16:creationId xmlns:a16="http://schemas.microsoft.com/office/drawing/2014/main" id="{00000000-0008-0000-0200-0000F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4" name="Check Box 498" hidden="1">
              <a:extLst>
                <a:ext uri="{63B3BB69-23CF-44E3-9099-C40C66FF867C}">
                  <a14:compatExt spid="_x0000_s4594"/>
                </a:ext>
                <a:ext uri="{FF2B5EF4-FFF2-40B4-BE49-F238E27FC236}">
                  <a16:creationId xmlns:a16="http://schemas.microsoft.com/office/drawing/2014/main" id="{00000000-0008-0000-0200-0000F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5" name="Check Box 499" hidden="1">
              <a:extLst>
                <a:ext uri="{63B3BB69-23CF-44E3-9099-C40C66FF867C}">
                  <a14:compatExt spid="_x0000_s4595"/>
                </a:ext>
                <a:ext uri="{FF2B5EF4-FFF2-40B4-BE49-F238E27FC236}">
                  <a16:creationId xmlns:a16="http://schemas.microsoft.com/office/drawing/2014/main" id="{00000000-0008-0000-0200-0000F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6" name="Check Box 500" hidden="1">
              <a:extLst>
                <a:ext uri="{63B3BB69-23CF-44E3-9099-C40C66FF867C}">
                  <a14:compatExt spid="_x0000_s4596"/>
                </a:ext>
                <a:ext uri="{FF2B5EF4-FFF2-40B4-BE49-F238E27FC236}">
                  <a16:creationId xmlns:a16="http://schemas.microsoft.com/office/drawing/2014/main" id="{00000000-0008-0000-0200-0000F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7" name="Check Box 501" hidden="1">
              <a:extLst>
                <a:ext uri="{63B3BB69-23CF-44E3-9099-C40C66FF867C}">
                  <a14:compatExt spid="_x0000_s4597"/>
                </a:ext>
                <a:ext uri="{FF2B5EF4-FFF2-40B4-BE49-F238E27FC236}">
                  <a16:creationId xmlns:a16="http://schemas.microsoft.com/office/drawing/2014/main" id="{00000000-0008-0000-0200-0000F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8" name="Check Box 502" hidden="1">
              <a:extLst>
                <a:ext uri="{63B3BB69-23CF-44E3-9099-C40C66FF867C}">
                  <a14:compatExt spid="_x0000_s4598"/>
                </a:ext>
                <a:ext uri="{FF2B5EF4-FFF2-40B4-BE49-F238E27FC236}">
                  <a16:creationId xmlns:a16="http://schemas.microsoft.com/office/drawing/2014/main" id="{00000000-0008-0000-0200-0000F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9" name="Check Box 503" hidden="1">
              <a:extLst>
                <a:ext uri="{63B3BB69-23CF-44E3-9099-C40C66FF867C}">
                  <a14:compatExt spid="_x0000_s4599"/>
                </a:ext>
                <a:ext uri="{FF2B5EF4-FFF2-40B4-BE49-F238E27FC236}">
                  <a16:creationId xmlns:a16="http://schemas.microsoft.com/office/drawing/2014/main" id="{00000000-0008-0000-0200-0000F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00" name="Check Box 504" hidden="1">
              <a:extLst>
                <a:ext uri="{63B3BB69-23CF-44E3-9099-C40C66FF867C}">
                  <a14:compatExt spid="_x0000_s4600"/>
                </a:ext>
                <a:ext uri="{FF2B5EF4-FFF2-40B4-BE49-F238E27FC236}">
                  <a16:creationId xmlns:a16="http://schemas.microsoft.com/office/drawing/2014/main" id="{00000000-0008-0000-0200-0000F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01" name="Check Box 505" hidden="1">
              <a:extLst>
                <a:ext uri="{63B3BB69-23CF-44E3-9099-C40C66FF867C}">
                  <a14:compatExt spid="_x0000_s4601"/>
                </a:ext>
                <a:ext uri="{FF2B5EF4-FFF2-40B4-BE49-F238E27FC236}">
                  <a16:creationId xmlns:a16="http://schemas.microsoft.com/office/drawing/2014/main" id="{00000000-0008-0000-0200-0000F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02" name="Check Box 506" hidden="1">
              <a:extLst>
                <a:ext uri="{63B3BB69-23CF-44E3-9099-C40C66FF867C}">
                  <a14:compatExt spid="_x0000_s4602"/>
                </a:ext>
                <a:ext uri="{FF2B5EF4-FFF2-40B4-BE49-F238E27FC236}">
                  <a16:creationId xmlns:a16="http://schemas.microsoft.com/office/drawing/2014/main" id="{00000000-0008-0000-0200-0000F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03" name="Check Box 507" hidden="1">
              <a:extLst>
                <a:ext uri="{63B3BB69-23CF-44E3-9099-C40C66FF867C}">
                  <a14:compatExt spid="_x0000_s4603"/>
                </a:ext>
                <a:ext uri="{FF2B5EF4-FFF2-40B4-BE49-F238E27FC236}">
                  <a16:creationId xmlns:a16="http://schemas.microsoft.com/office/drawing/2014/main" id="{00000000-0008-0000-0200-0000F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604" name="Check Box 508" hidden="1">
              <a:extLst>
                <a:ext uri="{63B3BB69-23CF-44E3-9099-C40C66FF867C}">
                  <a14:compatExt spid="_x0000_s4604"/>
                </a:ext>
                <a:ext uri="{FF2B5EF4-FFF2-40B4-BE49-F238E27FC236}">
                  <a16:creationId xmlns:a16="http://schemas.microsoft.com/office/drawing/2014/main" id="{00000000-0008-0000-0200-0000F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38100</xdr:rowOff>
        </xdr:to>
        <xdr:sp macro="" textlink="">
          <xdr:nvSpPr>
            <xdr:cNvPr id="4605" name="Check Box 509" hidden="1">
              <a:extLst>
                <a:ext uri="{63B3BB69-23CF-44E3-9099-C40C66FF867C}">
                  <a14:compatExt spid="_x0000_s4605"/>
                </a:ext>
                <a:ext uri="{FF2B5EF4-FFF2-40B4-BE49-F238E27FC236}">
                  <a16:creationId xmlns:a16="http://schemas.microsoft.com/office/drawing/2014/main" id="{00000000-0008-0000-0200-0000F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06" name="Check Box 510" hidden="1">
              <a:extLst>
                <a:ext uri="{63B3BB69-23CF-44E3-9099-C40C66FF867C}">
                  <a14:compatExt spid="_x0000_s4606"/>
                </a:ext>
                <a:ext uri="{FF2B5EF4-FFF2-40B4-BE49-F238E27FC236}">
                  <a16:creationId xmlns:a16="http://schemas.microsoft.com/office/drawing/2014/main" id="{00000000-0008-0000-0200-0000F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07" name="Check Box 511" hidden="1">
              <a:extLst>
                <a:ext uri="{63B3BB69-23CF-44E3-9099-C40C66FF867C}">
                  <a14:compatExt spid="_x0000_s4607"/>
                </a:ext>
                <a:ext uri="{FF2B5EF4-FFF2-40B4-BE49-F238E27FC236}">
                  <a16:creationId xmlns:a16="http://schemas.microsoft.com/office/drawing/2014/main" id="{00000000-0008-0000-0200-0000F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08" name="Check Box 512" hidden="1">
              <a:extLst>
                <a:ext uri="{63B3BB69-23CF-44E3-9099-C40C66FF867C}">
                  <a14:compatExt spid="_x0000_s4608"/>
                </a:ext>
                <a:ext uri="{FF2B5EF4-FFF2-40B4-BE49-F238E27FC236}">
                  <a16:creationId xmlns:a16="http://schemas.microsoft.com/office/drawing/2014/main" id="{00000000-0008-0000-0200-00000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09" name="Check Box 513" hidden="1">
              <a:extLst>
                <a:ext uri="{63B3BB69-23CF-44E3-9099-C40C66FF867C}">
                  <a14:compatExt spid="_x0000_s4609"/>
                </a:ext>
                <a:ext uri="{FF2B5EF4-FFF2-40B4-BE49-F238E27FC236}">
                  <a16:creationId xmlns:a16="http://schemas.microsoft.com/office/drawing/2014/main" id="{00000000-0008-0000-0200-00000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0" name="Check Box 514" hidden="1">
              <a:extLst>
                <a:ext uri="{63B3BB69-23CF-44E3-9099-C40C66FF867C}">
                  <a14:compatExt spid="_x0000_s4610"/>
                </a:ext>
                <a:ext uri="{FF2B5EF4-FFF2-40B4-BE49-F238E27FC236}">
                  <a16:creationId xmlns:a16="http://schemas.microsoft.com/office/drawing/2014/main" id="{00000000-0008-0000-0200-00000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1" name="Check Box 515" hidden="1">
              <a:extLst>
                <a:ext uri="{63B3BB69-23CF-44E3-9099-C40C66FF867C}">
                  <a14:compatExt spid="_x0000_s4611"/>
                </a:ext>
                <a:ext uri="{FF2B5EF4-FFF2-40B4-BE49-F238E27FC236}">
                  <a16:creationId xmlns:a16="http://schemas.microsoft.com/office/drawing/2014/main" id="{00000000-0008-0000-0200-00000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2" name="Check Box 516" hidden="1">
              <a:extLst>
                <a:ext uri="{63B3BB69-23CF-44E3-9099-C40C66FF867C}">
                  <a14:compatExt spid="_x0000_s4612"/>
                </a:ext>
                <a:ext uri="{FF2B5EF4-FFF2-40B4-BE49-F238E27FC236}">
                  <a16:creationId xmlns:a16="http://schemas.microsoft.com/office/drawing/2014/main" id="{00000000-0008-0000-0200-00000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3" name="Check Box 517" hidden="1">
              <a:extLst>
                <a:ext uri="{63B3BB69-23CF-44E3-9099-C40C66FF867C}">
                  <a14:compatExt spid="_x0000_s4613"/>
                </a:ext>
                <a:ext uri="{FF2B5EF4-FFF2-40B4-BE49-F238E27FC236}">
                  <a16:creationId xmlns:a16="http://schemas.microsoft.com/office/drawing/2014/main" id="{00000000-0008-0000-0200-00000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4" name="Check Box 518" hidden="1">
              <a:extLst>
                <a:ext uri="{63B3BB69-23CF-44E3-9099-C40C66FF867C}">
                  <a14:compatExt spid="_x0000_s4614"/>
                </a:ext>
                <a:ext uri="{FF2B5EF4-FFF2-40B4-BE49-F238E27FC236}">
                  <a16:creationId xmlns:a16="http://schemas.microsoft.com/office/drawing/2014/main" id="{00000000-0008-0000-0200-00000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15" name="Check Box 519" hidden="1">
              <a:extLst>
                <a:ext uri="{63B3BB69-23CF-44E3-9099-C40C66FF867C}">
                  <a14:compatExt spid="_x0000_s4615"/>
                </a:ext>
                <a:ext uri="{FF2B5EF4-FFF2-40B4-BE49-F238E27FC236}">
                  <a16:creationId xmlns:a16="http://schemas.microsoft.com/office/drawing/2014/main" id="{00000000-0008-0000-0200-00000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6" name="Check Box 520" hidden="1">
              <a:extLst>
                <a:ext uri="{63B3BB69-23CF-44E3-9099-C40C66FF867C}">
                  <a14:compatExt spid="_x0000_s4616"/>
                </a:ext>
                <a:ext uri="{FF2B5EF4-FFF2-40B4-BE49-F238E27FC236}">
                  <a16:creationId xmlns:a16="http://schemas.microsoft.com/office/drawing/2014/main" id="{00000000-0008-0000-0200-00000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7" name="Check Box 521" hidden="1">
              <a:extLst>
                <a:ext uri="{63B3BB69-23CF-44E3-9099-C40C66FF867C}">
                  <a14:compatExt spid="_x0000_s4617"/>
                </a:ext>
                <a:ext uri="{FF2B5EF4-FFF2-40B4-BE49-F238E27FC236}">
                  <a16:creationId xmlns:a16="http://schemas.microsoft.com/office/drawing/2014/main" id="{00000000-0008-0000-0200-00000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8" name="Check Box 522" hidden="1">
              <a:extLst>
                <a:ext uri="{63B3BB69-23CF-44E3-9099-C40C66FF867C}">
                  <a14:compatExt spid="_x0000_s4618"/>
                </a:ext>
                <a:ext uri="{FF2B5EF4-FFF2-40B4-BE49-F238E27FC236}">
                  <a16:creationId xmlns:a16="http://schemas.microsoft.com/office/drawing/2014/main" id="{00000000-0008-0000-0200-00000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9" name="Check Box 523" hidden="1">
              <a:extLst>
                <a:ext uri="{63B3BB69-23CF-44E3-9099-C40C66FF867C}">
                  <a14:compatExt spid="_x0000_s4619"/>
                </a:ext>
                <a:ext uri="{FF2B5EF4-FFF2-40B4-BE49-F238E27FC236}">
                  <a16:creationId xmlns:a16="http://schemas.microsoft.com/office/drawing/2014/main" id="{00000000-0008-0000-0200-00000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0" name="Check Box 524" hidden="1">
              <a:extLst>
                <a:ext uri="{63B3BB69-23CF-44E3-9099-C40C66FF867C}">
                  <a14:compatExt spid="_x0000_s4620"/>
                </a:ext>
                <a:ext uri="{FF2B5EF4-FFF2-40B4-BE49-F238E27FC236}">
                  <a16:creationId xmlns:a16="http://schemas.microsoft.com/office/drawing/2014/main" id="{00000000-0008-0000-0200-00000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1" name="Check Box 525" hidden="1">
              <a:extLst>
                <a:ext uri="{63B3BB69-23CF-44E3-9099-C40C66FF867C}">
                  <a14:compatExt spid="_x0000_s4621"/>
                </a:ext>
                <a:ext uri="{FF2B5EF4-FFF2-40B4-BE49-F238E27FC236}">
                  <a16:creationId xmlns:a16="http://schemas.microsoft.com/office/drawing/2014/main" id="{00000000-0008-0000-0200-00000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2" name="Check Box 526" hidden="1">
              <a:extLst>
                <a:ext uri="{63B3BB69-23CF-44E3-9099-C40C66FF867C}">
                  <a14:compatExt spid="_x0000_s4622"/>
                </a:ext>
                <a:ext uri="{FF2B5EF4-FFF2-40B4-BE49-F238E27FC236}">
                  <a16:creationId xmlns:a16="http://schemas.microsoft.com/office/drawing/2014/main" id="{00000000-0008-0000-0200-00000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3" name="Check Box 527" hidden="1">
              <a:extLst>
                <a:ext uri="{63B3BB69-23CF-44E3-9099-C40C66FF867C}">
                  <a14:compatExt spid="_x0000_s4623"/>
                </a:ext>
                <a:ext uri="{FF2B5EF4-FFF2-40B4-BE49-F238E27FC236}">
                  <a16:creationId xmlns:a16="http://schemas.microsoft.com/office/drawing/2014/main" id="{00000000-0008-0000-0200-00000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4" name="Check Box 528" hidden="1">
              <a:extLst>
                <a:ext uri="{63B3BB69-23CF-44E3-9099-C40C66FF867C}">
                  <a14:compatExt spid="_x0000_s4624"/>
                </a:ext>
                <a:ext uri="{FF2B5EF4-FFF2-40B4-BE49-F238E27FC236}">
                  <a16:creationId xmlns:a16="http://schemas.microsoft.com/office/drawing/2014/main" id="{00000000-0008-0000-0200-00001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5" name="Check Box 529" hidden="1">
              <a:extLst>
                <a:ext uri="{63B3BB69-23CF-44E3-9099-C40C66FF867C}">
                  <a14:compatExt spid="_x0000_s4625"/>
                </a:ext>
                <a:ext uri="{FF2B5EF4-FFF2-40B4-BE49-F238E27FC236}">
                  <a16:creationId xmlns:a16="http://schemas.microsoft.com/office/drawing/2014/main" id="{00000000-0008-0000-0200-00001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6" name="Check Box 530" hidden="1">
              <a:extLst>
                <a:ext uri="{63B3BB69-23CF-44E3-9099-C40C66FF867C}">
                  <a14:compatExt spid="_x0000_s4626"/>
                </a:ext>
                <a:ext uri="{FF2B5EF4-FFF2-40B4-BE49-F238E27FC236}">
                  <a16:creationId xmlns:a16="http://schemas.microsoft.com/office/drawing/2014/main" id="{00000000-0008-0000-0200-00001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7" name="Check Box 531" hidden="1">
              <a:extLst>
                <a:ext uri="{63B3BB69-23CF-44E3-9099-C40C66FF867C}">
                  <a14:compatExt spid="_x0000_s4627"/>
                </a:ext>
                <a:ext uri="{FF2B5EF4-FFF2-40B4-BE49-F238E27FC236}">
                  <a16:creationId xmlns:a16="http://schemas.microsoft.com/office/drawing/2014/main" id="{00000000-0008-0000-0200-00001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8" name="Check Box 532" hidden="1">
              <a:extLst>
                <a:ext uri="{63B3BB69-23CF-44E3-9099-C40C66FF867C}">
                  <a14:compatExt spid="_x0000_s4628"/>
                </a:ext>
                <a:ext uri="{FF2B5EF4-FFF2-40B4-BE49-F238E27FC236}">
                  <a16:creationId xmlns:a16="http://schemas.microsoft.com/office/drawing/2014/main" id="{00000000-0008-0000-0200-00001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9" name="Check Box 533" hidden="1">
              <a:extLst>
                <a:ext uri="{63B3BB69-23CF-44E3-9099-C40C66FF867C}">
                  <a14:compatExt spid="_x0000_s4629"/>
                </a:ext>
                <a:ext uri="{FF2B5EF4-FFF2-40B4-BE49-F238E27FC236}">
                  <a16:creationId xmlns:a16="http://schemas.microsoft.com/office/drawing/2014/main" id="{00000000-0008-0000-0200-00001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30" name="Check Box 534" hidden="1">
              <a:extLst>
                <a:ext uri="{63B3BB69-23CF-44E3-9099-C40C66FF867C}">
                  <a14:compatExt spid="_x0000_s4630"/>
                </a:ext>
                <a:ext uri="{FF2B5EF4-FFF2-40B4-BE49-F238E27FC236}">
                  <a16:creationId xmlns:a16="http://schemas.microsoft.com/office/drawing/2014/main" id="{00000000-0008-0000-0200-00001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631" name="Check Box 535" hidden="1">
              <a:extLst>
                <a:ext uri="{63B3BB69-23CF-44E3-9099-C40C66FF867C}">
                  <a14:compatExt spid="_x0000_s4631"/>
                </a:ext>
                <a:ext uri="{FF2B5EF4-FFF2-40B4-BE49-F238E27FC236}">
                  <a16:creationId xmlns:a16="http://schemas.microsoft.com/office/drawing/2014/main" id="{00000000-0008-0000-0200-00001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38100</xdr:rowOff>
        </xdr:to>
        <xdr:sp macro="" textlink="">
          <xdr:nvSpPr>
            <xdr:cNvPr id="4632" name="Check Box 536" hidden="1">
              <a:extLst>
                <a:ext uri="{63B3BB69-23CF-44E3-9099-C40C66FF867C}">
                  <a14:compatExt spid="_x0000_s4632"/>
                </a:ext>
                <a:ext uri="{FF2B5EF4-FFF2-40B4-BE49-F238E27FC236}">
                  <a16:creationId xmlns:a16="http://schemas.microsoft.com/office/drawing/2014/main" id="{00000000-0008-0000-0200-00001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33" name="Check Box 537" hidden="1">
              <a:extLst>
                <a:ext uri="{63B3BB69-23CF-44E3-9099-C40C66FF867C}">
                  <a14:compatExt spid="_x0000_s4633"/>
                </a:ext>
                <a:ext uri="{FF2B5EF4-FFF2-40B4-BE49-F238E27FC236}">
                  <a16:creationId xmlns:a16="http://schemas.microsoft.com/office/drawing/2014/main" id="{00000000-0008-0000-0200-00001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34" name="Check Box 538" hidden="1">
              <a:extLst>
                <a:ext uri="{63B3BB69-23CF-44E3-9099-C40C66FF867C}">
                  <a14:compatExt spid="_x0000_s4634"/>
                </a:ext>
                <a:ext uri="{FF2B5EF4-FFF2-40B4-BE49-F238E27FC236}">
                  <a16:creationId xmlns:a16="http://schemas.microsoft.com/office/drawing/2014/main" id="{00000000-0008-0000-0200-00001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35" name="Check Box 539" hidden="1">
              <a:extLst>
                <a:ext uri="{63B3BB69-23CF-44E3-9099-C40C66FF867C}">
                  <a14:compatExt spid="_x0000_s4635"/>
                </a:ext>
                <a:ext uri="{FF2B5EF4-FFF2-40B4-BE49-F238E27FC236}">
                  <a16:creationId xmlns:a16="http://schemas.microsoft.com/office/drawing/2014/main" id="{00000000-0008-0000-0200-00001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36" name="Check Box 540" hidden="1">
              <a:extLst>
                <a:ext uri="{63B3BB69-23CF-44E3-9099-C40C66FF867C}">
                  <a14:compatExt spid="_x0000_s4636"/>
                </a:ext>
                <a:ext uri="{FF2B5EF4-FFF2-40B4-BE49-F238E27FC236}">
                  <a16:creationId xmlns:a16="http://schemas.microsoft.com/office/drawing/2014/main" id="{00000000-0008-0000-0200-00001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37" name="Check Box 541" hidden="1">
              <a:extLst>
                <a:ext uri="{63B3BB69-23CF-44E3-9099-C40C66FF867C}">
                  <a14:compatExt spid="_x0000_s4637"/>
                </a:ext>
                <a:ext uri="{FF2B5EF4-FFF2-40B4-BE49-F238E27FC236}">
                  <a16:creationId xmlns:a16="http://schemas.microsoft.com/office/drawing/2014/main" id="{00000000-0008-0000-0200-00001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38" name="Check Box 542" hidden="1">
              <a:extLst>
                <a:ext uri="{63B3BB69-23CF-44E3-9099-C40C66FF867C}">
                  <a14:compatExt spid="_x0000_s4638"/>
                </a:ext>
                <a:ext uri="{FF2B5EF4-FFF2-40B4-BE49-F238E27FC236}">
                  <a16:creationId xmlns:a16="http://schemas.microsoft.com/office/drawing/2014/main" id="{00000000-0008-0000-0200-00001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39" name="Check Box 543" hidden="1">
              <a:extLst>
                <a:ext uri="{63B3BB69-23CF-44E3-9099-C40C66FF867C}">
                  <a14:compatExt spid="_x0000_s4639"/>
                </a:ext>
                <a:ext uri="{FF2B5EF4-FFF2-40B4-BE49-F238E27FC236}">
                  <a16:creationId xmlns:a16="http://schemas.microsoft.com/office/drawing/2014/main" id="{00000000-0008-0000-0200-00001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0" name="Check Box 544" hidden="1">
              <a:extLst>
                <a:ext uri="{63B3BB69-23CF-44E3-9099-C40C66FF867C}">
                  <a14:compatExt spid="_x0000_s4640"/>
                </a:ext>
                <a:ext uri="{FF2B5EF4-FFF2-40B4-BE49-F238E27FC236}">
                  <a16:creationId xmlns:a16="http://schemas.microsoft.com/office/drawing/2014/main" id="{00000000-0008-0000-0200-00002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41" name="Check Box 545" hidden="1">
              <a:extLst>
                <a:ext uri="{63B3BB69-23CF-44E3-9099-C40C66FF867C}">
                  <a14:compatExt spid="_x0000_s4641"/>
                </a:ext>
                <a:ext uri="{FF2B5EF4-FFF2-40B4-BE49-F238E27FC236}">
                  <a16:creationId xmlns:a16="http://schemas.microsoft.com/office/drawing/2014/main" id="{00000000-0008-0000-0200-00002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2" name="Check Box 546" hidden="1">
              <a:extLst>
                <a:ext uri="{63B3BB69-23CF-44E3-9099-C40C66FF867C}">
                  <a14:compatExt spid="_x0000_s4642"/>
                </a:ext>
                <a:ext uri="{FF2B5EF4-FFF2-40B4-BE49-F238E27FC236}">
                  <a16:creationId xmlns:a16="http://schemas.microsoft.com/office/drawing/2014/main" id="{00000000-0008-0000-0200-00002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3" name="Check Box 547" hidden="1">
              <a:extLst>
                <a:ext uri="{63B3BB69-23CF-44E3-9099-C40C66FF867C}">
                  <a14:compatExt spid="_x0000_s4643"/>
                </a:ext>
                <a:ext uri="{FF2B5EF4-FFF2-40B4-BE49-F238E27FC236}">
                  <a16:creationId xmlns:a16="http://schemas.microsoft.com/office/drawing/2014/main" id="{00000000-0008-0000-0200-00002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4" name="Check Box 548" hidden="1">
              <a:extLst>
                <a:ext uri="{63B3BB69-23CF-44E3-9099-C40C66FF867C}">
                  <a14:compatExt spid="_x0000_s4644"/>
                </a:ext>
                <a:ext uri="{FF2B5EF4-FFF2-40B4-BE49-F238E27FC236}">
                  <a16:creationId xmlns:a16="http://schemas.microsoft.com/office/drawing/2014/main" id="{00000000-0008-0000-0200-00002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5" name="Check Box 549" hidden="1">
              <a:extLst>
                <a:ext uri="{63B3BB69-23CF-44E3-9099-C40C66FF867C}">
                  <a14:compatExt spid="_x0000_s4645"/>
                </a:ext>
                <a:ext uri="{FF2B5EF4-FFF2-40B4-BE49-F238E27FC236}">
                  <a16:creationId xmlns:a16="http://schemas.microsoft.com/office/drawing/2014/main" id="{00000000-0008-0000-0200-00002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6" name="Check Box 550" hidden="1">
              <a:extLst>
                <a:ext uri="{63B3BB69-23CF-44E3-9099-C40C66FF867C}">
                  <a14:compatExt spid="_x0000_s4646"/>
                </a:ext>
                <a:ext uri="{FF2B5EF4-FFF2-40B4-BE49-F238E27FC236}">
                  <a16:creationId xmlns:a16="http://schemas.microsoft.com/office/drawing/2014/main" id="{00000000-0008-0000-0200-00002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7" name="Check Box 551" hidden="1">
              <a:extLst>
                <a:ext uri="{63B3BB69-23CF-44E3-9099-C40C66FF867C}">
                  <a14:compatExt spid="_x0000_s4647"/>
                </a:ext>
                <a:ext uri="{FF2B5EF4-FFF2-40B4-BE49-F238E27FC236}">
                  <a16:creationId xmlns:a16="http://schemas.microsoft.com/office/drawing/2014/main" id="{00000000-0008-0000-0200-00002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8" name="Check Box 552" hidden="1">
              <a:extLst>
                <a:ext uri="{63B3BB69-23CF-44E3-9099-C40C66FF867C}">
                  <a14:compatExt spid="_x0000_s4648"/>
                </a:ext>
                <a:ext uri="{FF2B5EF4-FFF2-40B4-BE49-F238E27FC236}">
                  <a16:creationId xmlns:a16="http://schemas.microsoft.com/office/drawing/2014/main" id="{00000000-0008-0000-0200-00002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9" name="Check Box 553" hidden="1">
              <a:extLst>
                <a:ext uri="{63B3BB69-23CF-44E3-9099-C40C66FF867C}">
                  <a14:compatExt spid="_x0000_s4649"/>
                </a:ext>
                <a:ext uri="{FF2B5EF4-FFF2-40B4-BE49-F238E27FC236}">
                  <a16:creationId xmlns:a16="http://schemas.microsoft.com/office/drawing/2014/main" id="{00000000-0008-0000-0200-00002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50" name="Check Box 554" hidden="1">
              <a:extLst>
                <a:ext uri="{63B3BB69-23CF-44E3-9099-C40C66FF867C}">
                  <a14:compatExt spid="_x0000_s4650"/>
                </a:ext>
                <a:ext uri="{FF2B5EF4-FFF2-40B4-BE49-F238E27FC236}">
                  <a16:creationId xmlns:a16="http://schemas.microsoft.com/office/drawing/2014/main" id="{00000000-0008-0000-0200-00002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76200</xdr:rowOff>
        </xdr:to>
        <xdr:sp macro="" textlink="">
          <xdr:nvSpPr>
            <xdr:cNvPr id="4651" name="Check Box 555" hidden="1">
              <a:extLst>
                <a:ext uri="{63B3BB69-23CF-44E3-9099-C40C66FF867C}">
                  <a14:compatExt spid="_x0000_s4651"/>
                </a:ext>
                <a:ext uri="{FF2B5EF4-FFF2-40B4-BE49-F238E27FC236}">
                  <a16:creationId xmlns:a16="http://schemas.microsoft.com/office/drawing/2014/main" id="{00000000-0008-0000-0200-00002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76200</xdr:rowOff>
        </xdr:to>
        <xdr:sp macro="" textlink="">
          <xdr:nvSpPr>
            <xdr:cNvPr id="4652" name="Check Box 556" hidden="1">
              <a:extLst>
                <a:ext uri="{63B3BB69-23CF-44E3-9099-C40C66FF867C}">
                  <a14:compatExt spid="_x0000_s4652"/>
                </a:ext>
                <a:ext uri="{FF2B5EF4-FFF2-40B4-BE49-F238E27FC236}">
                  <a16:creationId xmlns:a16="http://schemas.microsoft.com/office/drawing/2014/main" id="{00000000-0008-0000-0200-00002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76200</xdr:rowOff>
        </xdr:to>
        <xdr:sp macro="" textlink="">
          <xdr:nvSpPr>
            <xdr:cNvPr id="4653" name="Check Box 557" hidden="1">
              <a:extLst>
                <a:ext uri="{63B3BB69-23CF-44E3-9099-C40C66FF867C}">
                  <a14:compatExt spid="_x0000_s4653"/>
                </a:ext>
                <a:ext uri="{FF2B5EF4-FFF2-40B4-BE49-F238E27FC236}">
                  <a16:creationId xmlns:a16="http://schemas.microsoft.com/office/drawing/2014/main" id="{00000000-0008-0000-0200-00002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54" name="Check Box 558" hidden="1">
              <a:extLst>
                <a:ext uri="{63B3BB69-23CF-44E3-9099-C40C66FF867C}">
                  <a14:compatExt spid="_x0000_s4654"/>
                </a:ext>
                <a:ext uri="{FF2B5EF4-FFF2-40B4-BE49-F238E27FC236}">
                  <a16:creationId xmlns:a16="http://schemas.microsoft.com/office/drawing/2014/main" id="{00000000-0008-0000-0200-00002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55" name="Check Box 559" hidden="1">
              <a:extLst>
                <a:ext uri="{63B3BB69-23CF-44E3-9099-C40C66FF867C}">
                  <a14:compatExt spid="_x0000_s4655"/>
                </a:ext>
                <a:ext uri="{FF2B5EF4-FFF2-40B4-BE49-F238E27FC236}">
                  <a16:creationId xmlns:a16="http://schemas.microsoft.com/office/drawing/2014/main" id="{00000000-0008-0000-0200-00002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56" name="Check Box 560" hidden="1">
              <a:extLst>
                <a:ext uri="{63B3BB69-23CF-44E3-9099-C40C66FF867C}">
                  <a14:compatExt spid="_x0000_s4656"/>
                </a:ext>
                <a:ext uri="{FF2B5EF4-FFF2-40B4-BE49-F238E27FC236}">
                  <a16:creationId xmlns:a16="http://schemas.microsoft.com/office/drawing/2014/main" id="{00000000-0008-0000-0200-00003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57" name="Check Box 561" hidden="1">
              <a:extLst>
                <a:ext uri="{63B3BB69-23CF-44E3-9099-C40C66FF867C}">
                  <a14:compatExt spid="_x0000_s4657"/>
                </a:ext>
                <a:ext uri="{FF2B5EF4-FFF2-40B4-BE49-F238E27FC236}">
                  <a16:creationId xmlns:a16="http://schemas.microsoft.com/office/drawing/2014/main" id="{00000000-0008-0000-0200-00003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58" name="Check Box 562" hidden="1">
              <a:extLst>
                <a:ext uri="{63B3BB69-23CF-44E3-9099-C40C66FF867C}">
                  <a14:compatExt spid="_x0000_s4658"/>
                </a:ext>
                <a:ext uri="{FF2B5EF4-FFF2-40B4-BE49-F238E27FC236}">
                  <a16:creationId xmlns:a16="http://schemas.microsoft.com/office/drawing/2014/main" id="{00000000-0008-0000-0200-00003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59" name="Check Box 563" hidden="1">
              <a:extLst>
                <a:ext uri="{63B3BB69-23CF-44E3-9099-C40C66FF867C}">
                  <a14:compatExt spid="_x0000_s4659"/>
                </a:ext>
                <a:ext uri="{FF2B5EF4-FFF2-40B4-BE49-F238E27FC236}">
                  <a16:creationId xmlns:a16="http://schemas.microsoft.com/office/drawing/2014/main" id="{00000000-0008-0000-0200-00003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0" name="Check Box 564" hidden="1">
              <a:extLst>
                <a:ext uri="{63B3BB69-23CF-44E3-9099-C40C66FF867C}">
                  <a14:compatExt spid="_x0000_s4660"/>
                </a:ext>
                <a:ext uri="{FF2B5EF4-FFF2-40B4-BE49-F238E27FC236}">
                  <a16:creationId xmlns:a16="http://schemas.microsoft.com/office/drawing/2014/main" id="{00000000-0008-0000-0200-00003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1" name="Check Box 565" hidden="1">
              <a:extLst>
                <a:ext uri="{63B3BB69-23CF-44E3-9099-C40C66FF867C}">
                  <a14:compatExt spid="_x0000_s4661"/>
                </a:ext>
                <a:ext uri="{FF2B5EF4-FFF2-40B4-BE49-F238E27FC236}">
                  <a16:creationId xmlns:a16="http://schemas.microsoft.com/office/drawing/2014/main" id="{00000000-0008-0000-0200-00003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2" name="Check Box 566" hidden="1">
              <a:extLst>
                <a:ext uri="{63B3BB69-23CF-44E3-9099-C40C66FF867C}">
                  <a14:compatExt spid="_x0000_s4662"/>
                </a:ext>
                <a:ext uri="{FF2B5EF4-FFF2-40B4-BE49-F238E27FC236}">
                  <a16:creationId xmlns:a16="http://schemas.microsoft.com/office/drawing/2014/main" id="{00000000-0008-0000-0200-00003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3" name="Check Box 567" hidden="1">
              <a:extLst>
                <a:ext uri="{63B3BB69-23CF-44E3-9099-C40C66FF867C}">
                  <a14:compatExt spid="_x0000_s4663"/>
                </a:ext>
                <a:ext uri="{FF2B5EF4-FFF2-40B4-BE49-F238E27FC236}">
                  <a16:creationId xmlns:a16="http://schemas.microsoft.com/office/drawing/2014/main" id="{00000000-0008-0000-0200-00003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4" name="Check Box 568" hidden="1">
              <a:extLst>
                <a:ext uri="{63B3BB69-23CF-44E3-9099-C40C66FF867C}">
                  <a14:compatExt spid="_x0000_s4664"/>
                </a:ext>
                <a:ext uri="{FF2B5EF4-FFF2-40B4-BE49-F238E27FC236}">
                  <a16:creationId xmlns:a16="http://schemas.microsoft.com/office/drawing/2014/main" id="{00000000-0008-0000-0200-00003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5" name="Check Box 569" hidden="1">
              <a:extLst>
                <a:ext uri="{63B3BB69-23CF-44E3-9099-C40C66FF867C}">
                  <a14:compatExt spid="_x0000_s4665"/>
                </a:ext>
                <a:ext uri="{FF2B5EF4-FFF2-40B4-BE49-F238E27FC236}">
                  <a16:creationId xmlns:a16="http://schemas.microsoft.com/office/drawing/2014/main" id="{00000000-0008-0000-0200-00003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6" name="Check Box 570" hidden="1">
              <a:extLst>
                <a:ext uri="{63B3BB69-23CF-44E3-9099-C40C66FF867C}">
                  <a14:compatExt spid="_x0000_s4666"/>
                </a:ext>
                <a:ext uri="{FF2B5EF4-FFF2-40B4-BE49-F238E27FC236}">
                  <a16:creationId xmlns:a16="http://schemas.microsoft.com/office/drawing/2014/main" id="{00000000-0008-0000-0200-00003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7" name="Check Box 571" hidden="1">
              <a:extLst>
                <a:ext uri="{63B3BB69-23CF-44E3-9099-C40C66FF867C}">
                  <a14:compatExt spid="_x0000_s4667"/>
                </a:ext>
                <a:ext uri="{FF2B5EF4-FFF2-40B4-BE49-F238E27FC236}">
                  <a16:creationId xmlns:a16="http://schemas.microsoft.com/office/drawing/2014/main" id="{00000000-0008-0000-0200-00003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8" name="Check Box 572" hidden="1">
              <a:extLst>
                <a:ext uri="{63B3BB69-23CF-44E3-9099-C40C66FF867C}">
                  <a14:compatExt spid="_x0000_s4668"/>
                </a:ext>
                <a:ext uri="{FF2B5EF4-FFF2-40B4-BE49-F238E27FC236}">
                  <a16:creationId xmlns:a16="http://schemas.microsoft.com/office/drawing/2014/main" id="{00000000-0008-0000-0200-00003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9" name="Check Box 573" hidden="1">
              <a:extLst>
                <a:ext uri="{63B3BB69-23CF-44E3-9099-C40C66FF867C}">
                  <a14:compatExt spid="_x0000_s4669"/>
                </a:ext>
                <a:ext uri="{FF2B5EF4-FFF2-40B4-BE49-F238E27FC236}">
                  <a16:creationId xmlns:a16="http://schemas.microsoft.com/office/drawing/2014/main" id="{00000000-0008-0000-0200-00003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0" name="Check Box 574" hidden="1">
              <a:extLst>
                <a:ext uri="{63B3BB69-23CF-44E3-9099-C40C66FF867C}">
                  <a14:compatExt spid="_x0000_s4670"/>
                </a:ext>
                <a:ext uri="{FF2B5EF4-FFF2-40B4-BE49-F238E27FC236}">
                  <a16:creationId xmlns:a16="http://schemas.microsoft.com/office/drawing/2014/main" id="{00000000-0008-0000-0200-00003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1" name="Check Box 575" hidden="1">
              <a:extLst>
                <a:ext uri="{63B3BB69-23CF-44E3-9099-C40C66FF867C}">
                  <a14:compatExt spid="_x0000_s4671"/>
                </a:ext>
                <a:ext uri="{FF2B5EF4-FFF2-40B4-BE49-F238E27FC236}">
                  <a16:creationId xmlns:a16="http://schemas.microsoft.com/office/drawing/2014/main" id="{00000000-0008-0000-0200-00003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2" name="Check Box 576" hidden="1">
              <a:extLst>
                <a:ext uri="{63B3BB69-23CF-44E3-9099-C40C66FF867C}">
                  <a14:compatExt spid="_x0000_s4672"/>
                </a:ext>
                <a:ext uri="{FF2B5EF4-FFF2-40B4-BE49-F238E27FC236}">
                  <a16:creationId xmlns:a16="http://schemas.microsoft.com/office/drawing/2014/main" id="{00000000-0008-0000-0200-00004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3" name="Check Box 577" hidden="1">
              <a:extLst>
                <a:ext uri="{63B3BB69-23CF-44E3-9099-C40C66FF867C}">
                  <a14:compatExt spid="_x0000_s4673"/>
                </a:ext>
                <a:ext uri="{FF2B5EF4-FFF2-40B4-BE49-F238E27FC236}">
                  <a16:creationId xmlns:a16="http://schemas.microsoft.com/office/drawing/2014/main" id="{00000000-0008-0000-0200-00004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4" name="Check Box 578" hidden="1">
              <a:extLst>
                <a:ext uri="{63B3BB69-23CF-44E3-9099-C40C66FF867C}">
                  <a14:compatExt spid="_x0000_s4674"/>
                </a:ext>
                <a:ext uri="{FF2B5EF4-FFF2-40B4-BE49-F238E27FC236}">
                  <a16:creationId xmlns:a16="http://schemas.microsoft.com/office/drawing/2014/main" id="{00000000-0008-0000-0200-00004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5" name="Check Box 579" hidden="1">
              <a:extLst>
                <a:ext uri="{63B3BB69-23CF-44E3-9099-C40C66FF867C}">
                  <a14:compatExt spid="_x0000_s4675"/>
                </a:ext>
                <a:ext uri="{FF2B5EF4-FFF2-40B4-BE49-F238E27FC236}">
                  <a16:creationId xmlns:a16="http://schemas.microsoft.com/office/drawing/2014/main" id="{00000000-0008-0000-0200-00004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6" name="Check Box 580" hidden="1">
              <a:extLst>
                <a:ext uri="{63B3BB69-23CF-44E3-9099-C40C66FF867C}">
                  <a14:compatExt spid="_x0000_s4676"/>
                </a:ext>
                <a:ext uri="{FF2B5EF4-FFF2-40B4-BE49-F238E27FC236}">
                  <a16:creationId xmlns:a16="http://schemas.microsoft.com/office/drawing/2014/main" id="{00000000-0008-0000-0200-00004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7" name="Check Box 581" hidden="1">
              <a:extLst>
                <a:ext uri="{63B3BB69-23CF-44E3-9099-C40C66FF867C}">
                  <a14:compatExt spid="_x0000_s4677"/>
                </a:ext>
                <a:ext uri="{FF2B5EF4-FFF2-40B4-BE49-F238E27FC236}">
                  <a16:creationId xmlns:a16="http://schemas.microsoft.com/office/drawing/2014/main" id="{00000000-0008-0000-0200-00004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8" name="Check Box 582" hidden="1">
              <a:extLst>
                <a:ext uri="{63B3BB69-23CF-44E3-9099-C40C66FF867C}">
                  <a14:compatExt spid="_x0000_s4678"/>
                </a:ext>
                <a:ext uri="{FF2B5EF4-FFF2-40B4-BE49-F238E27FC236}">
                  <a16:creationId xmlns:a16="http://schemas.microsoft.com/office/drawing/2014/main" id="{00000000-0008-0000-0200-00004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79" name="Check Box 583" hidden="1">
              <a:extLst>
                <a:ext uri="{63B3BB69-23CF-44E3-9099-C40C66FF867C}">
                  <a14:compatExt spid="_x0000_s4679"/>
                </a:ext>
                <a:ext uri="{FF2B5EF4-FFF2-40B4-BE49-F238E27FC236}">
                  <a16:creationId xmlns:a16="http://schemas.microsoft.com/office/drawing/2014/main" id="{00000000-0008-0000-0200-00004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80" name="Check Box 584" hidden="1">
              <a:extLst>
                <a:ext uri="{63B3BB69-23CF-44E3-9099-C40C66FF867C}">
                  <a14:compatExt spid="_x0000_s4680"/>
                </a:ext>
                <a:ext uri="{FF2B5EF4-FFF2-40B4-BE49-F238E27FC236}">
                  <a16:creationId xmlns:a16="http://schemas.microsoft.com/office/drawing/2014/main" id="{00000000-0008-0000-0200-00004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81" name="Check Box 585" hidden="1">
              <a:extLst>
                <a:ext uri="{63B3BB69-23CF-44E3-9099-C40C66FF867C}">
                  <a14:compatExt spid="_x0000_s4681"/>
                </a:ext>
                <a:ext uri="{FF2B5EF4-FFF2-40B4-BE49-F238E27FC236}">
                  <a16:creationId xmlns:a16="http://schemas.microsoft.com/office/drawing/2014/main" id="{00000000-0008-0000-0200-00004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82" name="Check Box 586" hidden="1">
              <a:extLst>
                <a:ext uri="{63B3BB69-23CF-44E3-9099-C40C66FF867C}">
                  <a14:compatExt spid="_x0000_s4682"/>
                </a:ext>
                <a:ext uri="{FF2B5EF4-FFF2-40B4-BE49-F238E27FC236}">
                  <a16:creationId xmlns:a16="http://schemas.microsoft.com/office/drawing/2014/main" id="{00000000-0008-0000-0200-00004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83" name="Check Box 587" hidden="1">
              <a:extLst>
                <a:ext uri="{63B3BB69-23CF-44E3-9099-C40C66FF867C}">
                  <a14:compatExt spid="_x0000_s4683"/>
                </a:ext>
                <a:ext uri="{FF2B5EF4-FFF2-40B4-BE49-F238E27FC236}">
                  <a16:creationId xmlns:a16="http://schemas.microsoft.com/office/drawing/2014/main" id="{00000000-0008-0000-0200-00004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84" name="Check Box 588" hidden="1">
              <a:extLst>
                <a:ext uri="{63B3BB69-23CF-44E3-9099-C40C66FF867C}">
                  <a14:compatExt spid="_x0000_s4684"/>
                </a:ext>
                <a:ext uri="{FF2B5EF4-FFF2-40B4-BE49-F238E27FC236}">
                  <a16:creationId xmlns:a16="http://schemas.microsoft.com/office/drawing/2014/main" id="{00000000-0008-0000-0200-00004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85" name="Check Box 589" hidden="1">
              <a:extLst>
                <a:ext uri="{63B3BB69-23CF-44E3-9099-C40C66FF867C}">
                  <a14:compatExt spid="_x0000_s4685"/>
                </a:ext>
                <a:ext uri="{FF2B5EF4-FFF2-40B4-BE49-F238E27FC236}">
                  <a16:creationId xmlns:a16="http://schemas.microsoft.com/office/drawing/2014/main" id="{00000000-0008-0000-0200-00004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86" name="Check Box 590" hidden="1">
              <a:extLst>
                <a:ext uri="{63B3BB69-23CF-44E3-9099-C40C66FF867C}">
                  <a14:compatExt spid="_x0000_s4686"/>
                </a:ext>
                <a:ext uri="{FF2B5EF4-FFF2-40B4-BE49-F238E27FC236}">
                  <a16:creationId xmlns:a16="http://schemas.microsoft.com/office/drawing/2014/main" id="{00000000-0008-0000-0200-00004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87" name="Check Box 591" hidden="1">
              <a:extLst>
                <a:ext uri="{63B3BB69-23CF-44E3-9099-C40C66FF867C}">
                  <a14:compatExt spid="_x0000_s4687"/>
                </a:ext>
                <a:ext uri="{FF2B5EF4-FFF2-40B4-BE49-F238E27FC236}">
                  <a16:creationId xmlns:a16="http://schemas.microsoft.com/office/drawing/2014/main" id="{00000000-0008-0000-0200-00004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88" name="Check Box 592" hidden="1">
              <a:extLst>
                <a:ext uri="{63B3BB69-23CF-44E3-9099-C40C66FF867C}">
                  <a14:compatExt spid="_x0000_s4688"/>
                </a:ext>
                <a:ext uri="{FF2B5EF4-FFF2-40B4-BE49-F238E27FC236}">
                  <a16:creationId xmlns:a16="http://schemas.microsoft.com/office/drawing/2014/main" id="{00000000-0008-0000-0200-00005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89" name="Check Box 593" hidden="1">
              <a:extLst>
                <a:ext uri="{63B3BB69-23CF-44E3-9099-C40C66FF867C}">
                  <a14:compatExt spid="_x0000_s4689"/>
                </a:ext>
                <a:ext uri="{FF2B5EF4-FFF2-40B4-BE49-F238E27FC236}">
                  <a16:creationId xmlns:a16="http://schemas.microsoft.com/office/drawing/2014/main" id="{00000000-0008-0000-0200-00005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90" name="Check Box 594" hidden="1">
              <a:extLst>
                <a:ext uri="{63B3BB69-23CF-44E3-9099-C40C66FF867C}">
                  <a14:compatExt spid="_x0000_s4690"/>
                </a:ext>
                <a:ext uri="{FF2B5EF4-FFF2-40B4-BE49-F238E27FC236}">
                  <a16:creationId xmlns:a16="http://schemas.microsoft.com/office/drawing/2014/main" id="{00000000-0008-0000-0200-00005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91" name="Check Box 595" hidden="1">
              <a:extLst>
                <a:ext uri="{63B3BB69-23CF-44E3-9099-C40C66FF867C}">
                  <a14:compatExt spid="_x0000_s4691"/>
                </a:ext>
                <a:ext uri="{FF2B5EF4-FFF2-40B4-BE49-F238E27FC236}">
                  <a16:creationId xmlns:a16="http://schemas.microsoft.com/office/drawing/2014/main" id="{00000000-0008-0000-0200-00005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92" name="Check Box 596" hidden="1">
              <a:extLst>
                <a:ext uri="{63B3BB69-23CF-44E3-9099-C40C66FF867C}">
                  <a14:compatExt spid="_x0000_s4692"/>
                </a:ext>
                <a:ext uri="{FF2B5EF4-FFF2-40B4-BE49-F238E27FC236}">
                  <a16:creationId xmlns:a16="http://schemas.microsoft.com/office/drawing/2014/main" id="{00000000-0008-0000-0200-00005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93" name="Check Box 597" hidden="1">
              <a:extLst>
                <a:ext uri="{63B3BB69-23CF-44E3-9099-C40C66FF867C}">
                  <a14:compatExt spid="_x0000_s4693"/>
                </a:ext>
                <a:ext uri="{FF2B5EF4-FFF2-40B4-BE49-F238E27FC236}">
                  <a16:creationId xmlns:a16="http://schemas.microsoft.com/office/drawing/2014/main" id="{00000000-0008-0000-0200-00005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94" name="Check Box 598" hidden="1">
              <a:extLst>
                <a:ext uri="{63B3BB69-23CF-44E3-9099-C40C66FF867C}">
                  <a14:compatExt spid="_x0000_s4694"/>
                </a:ext>
                <a:ext uri="{FF2B5EF4-FFF2-40B4-BE49-F238E27FC236}">
                  <a16:creationId xmlns:a16="http://schemas.microsoft.com/office/drawing/2014/main" id="{00000000-0008-0000-0200-00005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95" name="Check Box 599" hidden="1">
              <a:extLst>
                <a:ext uri="{63B3BB69-23CF-44E3-9099-C40C66FF867C}">
                  <a14:compatExt spid="_x0000_s4695"/>
                </a:ext>
                <a:ext uri="{FF2B5EF4-FFF2-40B4-BE49-F238E27FC236}">
                  <a16:creationId xmlns:a16="http://schemas.microsoft.com/office/drawing/2014/main" id="{00000000-0008-0000-0200-00005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96" name="Check Box 600" hidden="1">
              <a:extLst>
                <a:ext uri="{63B3BB69-23CF-44E3-9099-C40C66FF867C}">
                  <a14:compatExt spid="_x0000_s4696"/>
                </a:ext>
                <a:ext uri="{FF2B5EF4-FFF2-40B4-BE49-F238E27FC236}">
                  <a16:creationId xmlns:a16="http://schemas.microsoft.com/office/drawing/2014/main" id="{00000000-0008-0000-0200-00005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97" name="Check Box 601" hidden="1">
              <a:extLst>
                <a:ext uri="{63B3BB69-23CF-44E3-9099-C40C66FF867C}">
                  <a14:compatExt spid="_x0000_s4697"/>
                </a:ext>
                <a:ext uri="{FF2B5EF4-FFF2-40B4-BE49-F238E27FC236}">
                  <a16:creationId xmlns:a16="http://schemas.microsoft.com/office/drawing/2014/main" id="{00000000-0008-0000-0200-00005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98" name="Check Box 602" hidden="1">
              <a:extLst>
                <a:ext uri="{63B3BB69-23CF-44E3-9099-C40C66FF867C}">
                  <a14:compatExt spid="_x0000_s4698"/>
                </a:ext>
                <a:ext uri="{FF2B5EF4-FFF2-40B4-BE49-F238E27FC236}">
                  <a16:creationId xmlns:a16="http://schemas.microsoft.com/office/drawing/2014/main" id="{00000000-0008-0000-0200-00005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99" name="Check Box 603" hidden="1">
              <a:extLst>
                <a:ext uri="{63B3BB69-23CF-44E3-9099-C40C66FF867C}">
                  <a14:compatExt spid="_x0000_s4699"/>
                </a:ext>
                <a:ext uri="{FF2B5EF4-FFF2-40B4-BE49-F238E27FC236}">
                  <a16:creationId xmlns:a16="http://schemas.microsoft.com/office/drawing/2014/main" id="{00000000-0008-0000-0200-00005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700" name="Check Box 604" hidden="1">
              <a:extLst>
                <a:ext uri="{63B3BB69-23CF-44E3-9099-C40C66FF867C}">
                  <a14:compatExt spid="_x0000_s4700"/>
                </a:ext>
                <a:ext uri="{FF2B5EF4-FFF2-40B4-BE49-F238E27FC236}">
                  <a16:creationId xmlns:a16="http://schemas.microsoft.com/office/drawing/2014/main" id="{00000000-0008-0000-0200-00005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1" name="Check Box 605" hidden="1">
              <a:extLst>
                <a:ext uri="{63B3BB69-23CF-44E3-9099-C40C66FF867C}">
                  <a14:compatExt spid="_x0000_s4701"/>
                </a:ext>
                <a:ext uri="{FF2B5EF4-FFF2-40B4-BE49-F238E27FC236}">
                  <a16:creationId xmlns:a16="http://schemas.microsoft.com/office/drawing/2014/main" id="{00000000-0008-0000-0200-00005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2" name="Check Box 606" hidden="1">
              <a:extLst>
                <a:ext uri="{63B3BB69-23CF-44E3-9099-C40C66FF867C}">
                  <a14:compatExt spid="_x0000_s4702"/>
                </a:ext>
                <a:ext uri="{FF2B5EF4-FFF2-40B4-BE49-F238E27FC236}">
                  <a16:creationId xmlns:a16="http://schemas.microsoft.com/office/drawing/2014/main" id="{00000000-0008-0000-0200-00005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3" name="Check Box 607" hidden="1">
              <a:extLst>
                <a:ext uri="{63B3BB69-23CF-44E3-9099-C40C66FF867C}">
                  <a14:compatExt spid="_x0000_s4703"/>
                </a:ext>
                <a:ext uri="{FF2B5EF4-FFF2-40B4-BE49-F238E27FC236}">
                  <a16:creationId xmlns:a16="http://schemas.microsoft.com/office/drawing/2014/main" id="{00000000-0008-0000-0200-00005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4" name="Check Box 608" hidden="1">
              <a:extLst>
                <a:ext uri="{63B3BB69-23CF-44E3-9099-C40C66FF867C}">
                  <a14:compatExt spid="_x0000_s4704"/>
                </a:ext>
                <a:ext uri="{FF2B5EF4-FFF2-40B4-BE49-F238E27FC236}">
                  <a16:creationId xmlns:a16="http://schemas.microsoft.com/office/drawing/2014/main" id="{00000000-0008-0000-0200-00006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5" name="Check Box 609" hidden="1">
              <a:extLst>
                <a:ext uri="{63B3BB69-23CF-44E3-9099-C40C66FF867C}">
                  <a14:compatExt spid="_x0000_s4705"/>
                </a:ext>
                <a:ext uri="{FF2B5EF4-FFF2-40B4-BE49-F238E27FC236}">
                  <a16:creationId xmlns:a16="http://schemas.microsoft.com/office/drawing/2014/main" id="{00000000-0008-0000-0200-00006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6" name="Check Box 610" hidden="1">
              <a:extLst>
                <a:ext uri="{63B3BB69-23CF-44E3-9099-C40C66FF867C}">
                  <a14:compatExt spid="_x0000_s4706"/>
                </a:ext>
                <a:ext uri="{FF2B5EF4-FFF2-40B4-BE49-F238E27FC236}">
                  <a16:creationId xmlns:a16="http://schemas.microsoft.com/office/drawing/2014/main" id="{00000000-0008-0000-0200-00006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7" name="Check Box 611" hidden="1">
              <a:extLst>
                <a:ext uri="{63B3BB69-23CF-44E3-9099-C40C66FF867C}">
                  <a14:compatExt spid="_x0000_s4707"/>
                </a:ext>
                <a:ext uri="{FF2B5EF4-FFF2-40B4-BE49-F238E27FC236}">
                  <a16:creationId xmlns:a16="http://schemas.microsoft.com/office/drawing/2014/main" id="{00000000-0008-0000-0200-00006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8" name="Check Box 612" hidden="1">
              <a:extLst>
                <a:ext uri="{63B3BB69-23CF-44E3-9099-C40C66FF867C}">
                  <a14:compatExt spid="_x0000_s4708"/>
                </a:ext>
                <a:ext uri="{FF2B5EF4-FFF2-40B4-BE49-F238E27FC236}">
                  <a16:creationId xmlns:a16="http://schemas.microsoft.com/office/drawing/2014/main" id="{00000000-0008-0000-0200-00006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9" name="Check Box 613" hidden="1">
              <a:extLst>
                <a:ext uri="{63B3BB69-23CF-44E3-9099-C40C66FF867C}">
                  <a14:compatExt spid="_x0000_s4709"/>
                </a:ext>
                <a:ext uri="{FF2B5EF4-FFF2-40B4-BE49-F238E27FC236}">
                  <a16:creationId xmlns:a16="http://schemas.microsoft.com/office/drawing/2014/main" id="{00000000-0008-0000-0200-00006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10" name="Check Box 614" hidden="1">
              <a:extLst>
                <a:ext uri="{63B3BB69-23CF-44E3-9099-C40C66FF867C}">
                  <a14:compatExt spid="_x0000_s4710"/>
                </a:ext>
                <a:ext uri="{FF2B5EF4-FFF2-40B4-BE49-F238E27FC236}">
                  <a16:creationId xmlns:a16="http://schemas.microsoft.com/office/drawing/2014/main" id="{00000000-0008-0000-0200-00006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11" name="Check Box 615" hidden="1">
              <a:extLst>
                <a:ext uri="{63B3BB69-23CF-44E3-9099-C40C66FF867C}">
                  <a14:compatExt spid="_x0000_s4711"/>
                </a:ext>
                <a:ext uri="{FF2B5EF4-FFF2-40B4-BE49-F238E27FC236}">
                  <a16:creationId xmlns:a16="http://schemas.microsoft.com/office/drawing/2014/main" id="{00000000-0008-0000-0200-00006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12" name="Check Box 616" hidden="1">
              <a:extLst>
                <a:ext uri="{63B3BB69-23CF-44E3-9099-C40C66FF867C}">
                  <a14:compatExt spid="_x0000_s4712"/>
                </a:ext>
                <a:ext uri="{FF2B5EF4-FFF2-40B4-BE49-F238E27FC236}">
                  <a16:creationId xmlns:a16="http://schemas.microsoft.com/office/drawing/2014/main" id="{00000000-0008-0000-0200-00006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13" name="Check Box 617" hidden="1">
              <a:extLst>
                <a:ext uri="{63B3BB69-23CF-44E3-9099-C40C66FF867C}">
                  <a14:compatExt spid="_x0000_s4713"/>
                </a:ext>
                <a:ext uri="{FF2B5EF4-FFF2-40B4-BE49-F238E27FC236}">
                  <a16:creationId xmlns:a16="http://schemas.microsoft.com/office/drawing/2014/main" id="{00000000-0008-0000-0200-00006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714" name="Check Box 618" hidden="1">
              <a:extLst>
                <a:ext uri="{63B3BB69-23CF-44E3-9099-C40C66FF867C}">
                  <a14:compatExt spid="_x0000_s4714"/>
                </a:ext>
                <a:ext uri="{FF2B5EF4-FFF2-40B4-BE49-F238E27FC236}">
                  <a16:creationId xmlns:a16="http://schemas.microsoft.com/office/drawing/2014/main" id="{00000000-0008-0000-0200-00006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715" name="Check Box 619" hidden="1">
              <a:extLst>
                <a:ext uri="{63B3BB69-23CF-44E3-9099-C40C66FF867C}">
                  <a14:compatExt spid="_x0000_s4715"/>
                </a:ext>
                <a:ext uri="{FF2B5EF4-FFF2-40B4-BE49-F238E27FC236}">
                  <a16:creationId xmlns:a16="http://schemas.microsoft.com/office/drawing/2014/main" id="{00000000-0008-0000-0200-00006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716" name="Check Box 620" hidden="1">
              <a:extLst>
                <a:ext uri="{63B3BB69-23CF-44E3-9099-C40C66FF867C}">
                  <a14:compatExt spid="_x0000_s4716"/>
                </a:ext>
                <a:ext uri="{FF2B5EF4-FFF2-40B4-BE49-F238E27FC236}">
                  <a16:creationId xmlns:a16="http://schemas.microsoft.com/office/drawing/2014/main" id="{00000000-0008-0000-0200-00006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17" name="Check Box 621" hidden="1">
              <a:extLst>
                <a:ext uri="{63B3BB69-23CF-44E3-9099-C40C66FF867C}">
                  <a14:compatExt spid="_x0000_s4717"/>
                </a:ext>
                <a:ext uri="{FF2B5EF4-FFF2-40B4-BE49-F238E27FC236}">
                  <a16:creationId xmlns:a16="http://schemas.microsoft.com/office/drawing/2014/main" id="{00000000-0008-0000-0200-00006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18" name="Check Box 622" hidden="1">
              <a:extLst>
                <a:ext uri="{63B3BB69-23CF-44E3-9099-C40C66FF867C}">
                  <a14:compatExt spid="_x0000_s4718"/>
                </a:ext>
                <a:ext uri="{FF2B5EF4-FFF2-40B4-BE49-F238E27FC236}">
                  <a16:creationId xmlns:a16="http://schemas.microsoft.com/office/drawing/2014/main" id="{00000000-0008-0000-0200-00006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19" name="Check Box 623" hidden="1">
              <a:extLst>
                <a:ext uri="{63B3BB69-23CF-44E3-9099-C40C66FF867C}">
                  <a14:compatExt spid="_x0000_s4719"/>
                </a:ext>
                <a:ext uri="{FF2B5EF4-FFF2-40B4-BE49-F238E27FC236}">
                  <a16:creationId xmlns:a16="http://schemas.microsoft.com/office/drawing/2014/main" id="{00000000-0008-0000-0200-00006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20" name="Check Box 624" hidden="1">
              <a:extLst>
                <a:ext uri="{63B3BB69-23CF-44E3-9099-C40C66FF867C}">
                  <a14:compatExt spid="_x0000_s4720"/>
                </a:ext>
                <a:ext uri="{FF2B5EF4-FFF2-40B4-BE49-F238E27FC236}">
                  <a16:creationId xmlns:a16="http://schemas.microsoft.com/office/drawing/2014/main" id="{00000000-0008-0000-0200-00007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21" name="Check Box 625" hidden="1">
              <a:extLst>
                <a:ext uri="{63B3BB69-23CF-44E3-9099-C40C66FF867C}">
                  <a14:compatExt spid="_x0000_s4721"/>
                </a:ext>
                <a:ext uri="{FF2B5EF4-FFF2-40B4-BE49-F238E27FC236}">
                  <a16:creationId xmlns:a16="http://schemas.microsoft.com/office/drawing/2014/main" id="{00000000-0008-0000-0200-00007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22" name="Check Box 626" hidden="1">
              <a:extLst>
                <a:ext uri="{63B3BB69-23CF-44E3-9099-C40C66FF867C}">
                  <a14:compatExt spid="_x0000_s4722"/>
                </a:ext>
                <a:ext uri="{FF2B5EF4-FFF2-40B4-BE49-F238E27FC236}">
                  <a16:creationId xmlns:a16="http://schemas.microsoft.com/office/drawing/2014/main" id="{00000000-0008-0000-0200-00007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23" name="Check Box 627" hidden="1">
              <a:extLst>
                <a:ext uri="{63B3BB69-23CF-44E3-9099-C40C66FF867C}">
                  <a14:compatExt spid="_x0000_s4723"/>
                </a:ext>
                <a:ext uri="{FF2B5EF4-FFF2-40B4-BE49-F238E27FC236}">
                  <a16:creationId xmlns:a16="http://schemas.microsoft.com/office/drawing/2014/main" id="{00000000-0008-0000-0200-00007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24" name="Check Box 628" hidden="1">
              <a:extLst>
                <a:ext uri="{63B3BB69-23CF-44E3-9099-C40C66FF867C}">
                  <a14:compatExt spid="_x0000_s4724"/>
                </a:ext>
                <a:ext uri="{FF2B5EF4-FFF2-40B4-BE49-F238E27FC236}">
                  <a16:creationId xmlns:a16="http://schemas.microsoft.com/office/drawing/2014/main" id="{00000000-0008-0000-0200-00007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25" name="Check Box 629" hidden="1">
              <a:extLst>
                <a:ext uri="{63B3BB69-23CF-44E3-9099-C40C66FF867C}">
                  <a14:compatExt spid="_x0000_s4725"/>
                </a:ext>
                <a:ext uri="{FF2B5EF4-FFF2-40B4-BE49-F238E27FC236}">
                  <a16:creationId xmlns:a16="http://schemas.microsoft.com/office/drawing/2014/main" id="{00000000-0008-0000-0200-00007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26" name="Check Box 630" hidden="1">
              <a:extLst>
                <a:ext uri="{63B3BB69-23CF-44E3-9099-C40C66FF867C}">
                  <a14:compatExt spid="_x0000_s4726"/>
                </a:ext>
                <a:ext uri="{FF2B5EF4-FFF2-40B4-BE49-F238E27FC236}">
                  <a16:creationId xmlns:a16="http://schemas.microsoft.com/office/drawing/2014/main" id="{00000000-0008-0000-0200-00007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27" name="Check Box 631" hidden="1">
              <a:extLst>
                <a:ext uri="{63B3BB69-23CF-44E3-9099-C40C66FF867C}">
                  <a14:compatExt spid="_x0000_s4727"/>
                </a:ext>
                <a:ext uri="{FF2B5EF4-FFF2-40B4-BE49-F238E27FC236}">
                  <a16:creationId xmlns:a16="http://schemas.microsoft.com/office/drawing/2014/main" id="{00000000-0008-0000-0200-00007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31750</xdr:rowOff>
        </xdr:to>
        <xdr:sp macro="" textlink="">
          <xdr:nvSpPr>
            <xdr:cNvPr id="4728" name="Check Box 632" hidden="1">
              <a:extLst>
                <a:ext uri="{63B3BB69-23CF-44E3-9099-C40C66FF867C}">
                  <a14:compatExt spid="_x0000_s4728"/>
                </a:ext>
                <a:ext uri="{FF2B5EF4-FFF2-40B4-BE49-F238E27FC236}">
                  <a16:creationId xmlns:a16="http://schemas.microsoft.com/office/drawing/2014/main" id="{00000000-0008-0000-0200-00007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29" name="Check Box 633" hidden="1">
              <a:extLst>
                <a:ext uri="{63B3BB69-23CF-44E3-9099-C40C66FF867C}">
                  <a14:compatExt spid="_x0000_s4729"/>
                </a:ext>
                <a:ext uri="{FF2B5EF4-FFF2-40B4-BE49-F238E27FC236}">
                  <a16:creationId xmlns:a16="http://schemas.microsoft.com/office/drawing/2014/main" id="{00000000-0008-0000-0200-00007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0" name="Check Box 634" hidden="1">
              <a:extLst>
                <a:ext uri="{63B3BB69-23CF-44E3-9099-C40C66FF867C}">
                  <a14:compatExt spid="_x0000_s4730"/>
                </a:ext>
                <a:ext uri="{FF2B5EF4-FFF2-40B4-BE49-F238E27FC236}">
                  <a16:creationId xmlns:a16="http://schemas.microsoft.com/office/drawing/2014/main" id="{00000000-0008-0000-0200-00007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1" name="Check Box 635" hidden="1">
              <a:extLst>
                <a:ext uri="{63B3BB69-23CF-44E3-9099-C40C66FF867C}">
                  <a14:compatExt spid="_x0000_s4731"/>
                </a:ext>
                <a:ext uri="{FF2B5EF4-FFF2-40B4-BE49-F238E27FC236}">
                  <a16:creationId xmlns:a16="http://schemas.microsoft.com/office/drawing/2014/main" id="{00000000-0008-0000-0200-00007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2" name="Check Box 636" hidden="1">
              <a:extLst>
                <a:ext uri="{63B3BB69-23CF-44E3-9099-C40C66FF867C}">
                  <a14:compatExt spid="_x0000_s4732"/>
                </a:ext>
                <a:ext uri="{FF2B5EF4-FFF2-40B4-BE49-F238E27FC236}">
                  <a16:creationId xmlns:a16="http://schemas.microsoft.com/office/drawing/2014/main" id="{00000000-0008-0000-0200-00007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3" name="Check Box 637" hidden="1">
              <a:extLst>
                <a:ext uri="{63B3BB69-23CF-44E3-9099-C40C66FF867C}">
                  <a14:compatExt spid="_x0000_s4733"/>
                </a:ext>
                <a:ext uri="{FF2B5EF4-FFF2-40B4-BE49-F238E27FC236}">
                  <a16:creationId xmlns:a16="http://schemas.microsoft.com/office/drawing/2014/main" id="{00000000-0008-0000-0200-00007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4" name="Check Box 638" hidden="1">
              <a:extLst>
                <a:ext uri="{63B3BB69-23CF-44E3-9099-C40C66FF867C}">
                  <a14:compatExt spid="_x0000_s4734"/>
                </a:ext>
                <a:ext uri="{FF2B5EF4-FFF2-40B4-BE49-F238E27FC236}">
                  <a16:creationId xmlns:a16="http://schemas.microsoft.com/office/drawing/2014/main" id="{00000000-0008-0000-0200-00007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5" name="Check Box 639" hidden="1">
              <a:extLst>
                <a:ext uri="{63B3BB69-23CF-44E3-9099-C40C66FF867C}">
                  <a14:compatExt spid="_x0000_s4735"/>
                </a:ext>
                <a:ext uri="{FF2B5EF4-FFF2-40B4-BE49-F238E27FC236}">
                  <a16:creationId xmlns:a16="http://schemas.microsoft.com/office/drawing/2014/main" id="{00000000-0008-0000-0200-00007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6" name="Check Box 640" hidden="1">
              <a:extLst>
                <a:ext uri="{63B3BB69-23CF-44E3-9099-C40C66FF867C}">
                  <a14:compatExt spid="_x0000_s4736"/>
                </a:ext>
                <a:ext uri="{FF2B5EF4-FFF2-40B4-BE49-F238E27FC236}">
                  <a16:creationId xmlns:a16="http://schemas.microsoft.com/office/drawing/2014/main" id="{00000000-0008-0000-0200-00008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7" name="Check Box 641" hidden="1">
              <a:extLst>
                <a:ext uri="{63B3BB69-23CF-44E3-9099-C40C66FF867C}">
                  <a14:compatExt spid="_x0000_s4737"/>
                </a:ext>
                <a:ext uri="{FF2B5EF4-FFF2-40B4-BE49-F238E27FC236}">
                  <a16:creationId xmlns:a16="http://schemas.microsoft.com/office/drawing/2014/main" id="{00000000-0008-0000-0200-00008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107950</xdr:rowOff>
        </xdr:to>
        <xdr:sp macro="" textlink="">
          <xdr:nvSpPr>
            <xdr:cNvPr id="4738" name="Check Box 642" hidden="1">
              <a:extLst>
                <a:ext uri="{63B3BB69-23CF-44E3-9099-C40C66FF867C}">
                  <a14:compatExt spid="_x0000_s4738"/>
                </a:ext>
                <a:ext uri="{FF2B5EF4-FFF2-40B4-BE49-F238E27FC236}">
                  <a16:creationId xmlns:a16="http://schemas.microsoft.com/office/drawing/2014/main" id="{00000000-0008-0000-0200-00008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9" name="Check Box 643" hidden="1">
              <a:extLst>
                <a:ext uri="{63B3BB69-23CF-44E3-9099-C40C66FF867C}">
                  <a14:compatExt spid="_x0000_s4739"/>
                </a:ext>
                <a:ext uri="{FF2B5EF4-FFF2-40B4-BE49-F238E27FC236}">
                  <a16:creationId xmlns:a16="http://schemas.microsoft.com/office/drawing/2014/main" id="{00000000-0008-0000-0200-00008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0" name="Check Box 644" hidden="1">
              <a:extLst>
                <a:ext uri="{63B3BB69-23CF-44E3-9099-C40C66FF867C}">
                  <a14:compatExt spid="_x0000_s4740"/>
                </a:ext>
                <a:ext uri="{FF2B5EF4-FFF2-40B4-BE49-F238E27FC236}">
                  <a16:creationId xmlns:a16="http://schemas.microsoft.com/office/drawing/2014/main" id="{00000000-0008-0000-0200-00008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1" name="Check Box 645" hidden="1">
              <a:extLst>
                <a:ext uri="{63B3BB69-23CF-44E3-9099-C40C66FF867C}">
                  <a14:compatExt spid="_x0000_s4741"/>
                </a:ext>
                <a:ext uri="{FF2B5EF4-FFF2-40B4-BE49-F238E27FC236}">
                  <a16:creationId xmlns:a16="http://schemas.microsoft.com/office/drawing/2014/main" id="{00000000-0008-0000-0200-00008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2" name="Check Box 646" hidden="1">
              <a:extLst>
                <a:ext uri="{63B3BB69-23CF-44E3-9099-C40C66FF867C}">
                  <a14:compatExt spid="_x0000_s4742"/>
                </a:ext>
                <a:ext uri="{FF2B5EF4-FFF2-40B4-BE49-F238E27FC236}">
                  <a16:creationId xmlns:a16="http://schemas.microsoft.com/office/drawing/2014/main" id="{00000000-0008-0000-0200-00008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3" name="Check Box 647" hidden="1">
              <a:extLst>
                <a:ext uri="{63B3BB69-23CF-44E3-9099-C40C66FF867C}">
                  <a14:compatExt spid="_x0000_s4743"/>
                </a:ext>
                <a:ext uri="{FF2B5EF4-FFF2-40B4-BE49-F238E27FC236}">
                  <a16:creationId xmlns:a16="http://schemas.microsoft.com/office/drawing/2014/main" id="{00000000-0008-0000-0200-00008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4" name="Check Box 648" hidden="1">
              <a:extLst>
                <a:ext uri="{63B3BB69-23CF-44E3-9099-C40C66FF867C}">
                  <a14:compatExt spid="_x0000_s4744"/>
                </a:ext>
                <a:ext uri="{FF2B5EF4-FFF2-40B4-BE49-F238E27FC236}">
                  <a16:creationId xmlns:a16="http://schemas.microsoft.com/office/drawing/2014/main" id="{00000000-0008-0000-0200-00008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5" name="Check Box 649" hidden="1">
              <a:extLst>
                <a:ext uri="{63B3BB69-23CF-44E3-9099-C40C66FF867C}">
                  <a14:compatExt spid="_x0000_s4745"/>
                </a:ext>
                <a:ext uri="{FF2B5EF4-FFF2-40B4-BE49-F238E27FC236}">
                  <a16:creationId xmlns:a16="http://schemas.microsoft.com/office/drawing/2014/main" id="{00000000-0008-0000-0200-00008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6" name="Check Box 650" hidden="1">
              <a:extLst>
                <a:ext uri="{63B3BB69-23CF-44E3-9099-C40C66FF867C}">
                  <a14:compatExt spid="_x0000_s4746"/>
                </a:ext>
                <a:ext uri="{FF2B5EF4-FFF2-40B4-BE49-F238E27FC236}">
                  <a16:creationId xmlns:a16="http://schemas.microsoft.com/office/drawing/2014/main" id="{00000000-0008-0000-0200-00008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7" name="Check Box 651" hidden="1">
              <a:extLst>
                <a:ext uri="{63B3BB69-23CF-44E3-9099-C40C66FF867C}">
                  <a14:compatExt spid="_x0000_s4747"/>
                </a:ext>
                <a:ext uri="{FF2B5EF4-FFF2-40B4-BE49-F238E27FC236}">
                  <a16:creationId xmlns:a16="http://schemas.microsoft.com/office/drawing/2014/main" id="{00000000-0008-0000-0200-00008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8" name="Check Box 652" hidden="1">
              <a:extLst>
                <a:ext uri="{63B3BB69-23CF-44E3-9099-C40C66FF867C}">
                  <a14:compatExt spid="_x0000_s4748"/>
                </a:ext>
                <a:ext uri="{FF2B5EF4-FFF2-40B4-BE49-F238E27FC236}">
                  <a16:creationId xmlns:a16="http://schemas.microsoft.com/office/drawing/2014/main" id="{00000000-0008-0000-0200-00008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9" name="Check Box 653" hidden="1">
              <a:extLst>
                <a:ext uri="{63B3BB69-23CF-44E3-9099-C40C66FF867C}">
                  <a14:compatExt spid="_x0000_s4749"/>
                </a:ext>
                <a:ext uri="{FF2B5EF4-FFF2-40B4-BE49-F238E27FC236}">
                  <a16:creationId xmlns:a16="http://schemas.microsoft.com/office/drawing/2014/main" id="{00000000-0008-0000-0200-00008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0" name="Check Box 654" hidden="1">
              <a:extLst>
                <a:ext uri="{63B3BB69-23CF-44E3-9099-C40C66FF867C}">
                  <a14:compatExt spid="_x0000_s4750"/>
                </a:ext>
                <a:ext uri="{FF2B5EF4-FFF2-40B4-BE49-F238E27FC236}">
                  <a16:creationId xmlns:a16="http://schemas.microsoft.com/office/drawing/2014/main" id="{00000000-0008-0000-0200-00008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1" name="Check Box 655" hidden="1">
              <a:extLst>
                <a:ext uri="{63B3BB69-23CF-44E3-9099-C40C66FF867C}">
                  <a14:compatExt spid="_x0000_s4751"/>
                </a:ext>
                <a:ext uri="{FF2B5EF4-FFF2-40B4-BE49-F238E27FC236}">
                  <a16:creationId xmlns:a16="http://schemas.microsoft.com/office/drawing/2014/main" id="{00000000-0008-0000-0200-00008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2" name="Check Box 656" hidden="1">
              <a:extLst>
                <a:ext uri="{63B3BB69-23CF-44E3-9099-C40C66FF867C}">
                  <a14:compatExt spid="_x0000_s4752"/>
                </a:ext>
                <a:ext uri="{FF2B5EF4-FFF2-40B4-BE49-F238E27FC236}">
                  <a16:creationId xmlns:a16="http://schemas.microsoft.com/office/drawing/2014/main" id="{00000000-0008-0000-0200-00009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3" name="Check Box 657" hidden="1">
              <a:extLst>
                <a:ext uri="{63B3BB69-23CF-44E3-9099-C40C66FF867C}">
                  <a14:compatExt spid="_x0000_s4753"/>
                </a:ext>
                <a:ext uri="{FF2B5EF4-FFF2-40B4-BE49-F238E27FC236}">
                  <a16:creationId xmlns:a16="http://schemas.microsoft.com/office/drawing/2014/main" id="{00000000-0008-0000-0200-00009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4" name="Check Box 658" hidden="1">
              <a:extLst>
                <a:ext uri="{63B3BB69-23CF-44E3-9099-C40C66FF867C}">
                  <a14:compatExt spid="_x0000_s4754"/>
                </a:ext>
                <a:ext uri="{FF2B5EF4-FFF2-40B4-BE49-F238E27FC236}">
                  <a16:creationId xmlns:a16="http://schemas.microsoft.com/office/drawing/2014/main" id="{00000000-0008-0000-0200-00009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5" name="Check Box 659" hidden="1">
              <a:extLst>
                <a:ext uri="{63B3BB69-23CF-44E3-9099-C40C66FF867C}">
                  <a14:compatExt spid="_x0000_s4755"/>
                </a:ext>
                <a:ext uri="{FF2B5EF4-FFF2-40B4-BE49-F238E27FC236}">
                  <a16:creationId xmlns:a16="http://schemas.microsoft.com/office/drawing/2014/main" id="{00000000-0008-0000-0200-00009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6" name="Check Box 660" hidden="1">
              <a:extLst>
                <a:ext uri="{63B3BB69-23CF-44E3-9099-C40C66FF867C}">
                  <a14:compatExt spid="_x0000_s4756"/>
                </a:ext>
                <a:ext uri="{FF2B5EF4-FFF2-40B4-BE49-F238E27FC236}">
                  <a16:creationId xmlns:a16="http://schemas.microsoft.com/office/drawing/2014/main" id="{00000000-0008-0000-0200-00009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7" name="Check Box 661" hidden="1">
              <a:extLst>
                <a:ext uri="{63B3BB69-23CF-44E3-9099-C40C66FF867C}">
                  <a14:compatExt spid="_x0000_s4757"/>
                </a:ext>
                <a:ext uri="{FF2B5EF4-FFF2-40B4-BE49-F238E27FC236}">
                  <a16:creationId xmlns:a16="http://schemas.microsoft.com/office/drawing/2014/main" id="{00000000-0008-0000-0200-00009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8" name="Check Box 662" hidden="1">
              <a:extLst>
                <a:ext uri="{63B3BB69-23CF-44E3-9099-C40C66FF867C}">
                  <a14:compatExt spid="_x0000_s4758"/>
                </a:ext>
                <a:ext uri="{FF2B5EF4-FFF2-40B4-BE49-F238E27FC236}">
                  <a16:creationId xmlns:a16="http://schemas.microsoft.com/office/drawing/2014/main" id="{00000000-0008-0000-0200-00009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59" name="Check Box 663" hidden="1">
              <a:extLst>
                <a:ext uri="{63B3BB69-23CF-44E3-9099-C40C66FF867C}">
                  <a14:compatExt spid="_x0000_s4759"/>
                </a:ext>
                <a:ext uri="{FF2B5EF4-FFF2-40B4-BE49-F238E27FC236}">
                  <a16:creationId xmlns:a16="http://schemas.microsoft.com/office/drawing/2014/main" id="{00000000-0008-0000-0200-00009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31750</xdr:rowOff>
        </xdr:to>
        <xdr:sp macro="" textlink="">
          <xdr:nvSpPr>
            <xdr:cNvPr id="4760" name="Check Box 664" hidden="1">
              <a:extLst>
                <a:ext uri="{63B3BB69-23CF-44E3-9099-C40C66FF867C}">
                  <a14:compatExt spid="_x0000_s4760"/>
                </a:ext>
                <a:ext uri="{FF2B5EF4-FFF2-40B4-BE49-F238E27FC236}">
                  <a16:creationId xmlns:a16="http://schemas.microsoft.com/office/drawing/2014/main" id="{00000000-0008-0000-0200-00009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1" name="Check Box 665" hidden="1">
              <a:extLst>
                <a:ext uri="{63B3BB69-23CF-44E3-9099-C40C66FF867C}">
                  <a14:compatExt spid="_x0000_s4761"/>
                </a:ext>
                <a:ext uri="{FF2B5EF4-FFF2-40B4-BE49-F238E27FC236}">
                  <a16:creationId xmlns:a16="http://schemas.microsoft.com/office/drawing/2014/main" id="{00000000-0008-0000-0200-00009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2" name="Check Box 666" hidden="1">
              <a:extLst>
                <a:ext uri="{63B3BB69-23CF-44E3-9099-C40C66FF867C}">
                  <a14:compatExt spid="_x0000_s4762"/>
                </a:ext>
                <a:ext uri="{FF2B5EF4-FFF2-40B4-BE49-F238E27FC236}">
                  <a16:creationId xmlns:a16="http://schemas.microsoft.com/office/drawing/2014/main" id="{00000000-0008-0000-0200-00009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3" name="Check Box 667" hidden="1">
              <a:extLst>
                <a:ext uri="{63B3BB69-23CF-44E3-9099-C40C66FF867C}">
                  <a14:compatExt spid="_x0000_s4763"/>
                </a:ext>
                <a:ext uri="{FF2B5EF4-FFF2-40B4-BE49-F238E27FC236}">
                  <a16:creationId xmlns:a16="http://schemas.microsoft.com/office/drawing/2014/main" id="{00000000-0008-0000-0200-00009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4" name="Check Box 668" hidden="1">
              <a:extLst>
                <a:ext uri="{63B3BB69-23CF-44E3-9099-C40C66FF867C}">
                  <a14:compatExt spid="_x0000_s4764"/>
                </a:ext>
                <a:ext uri="{FF2B5EF4-FFF2-40B4-BE49-F238E27FC236}">
                  <a16:creationId xmlns:a16="http://schemas.microsoft.com/office/drawing/2014/main" id="{00000000-0008-0000-0200-00009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5" name="Check Box 669" hidden="1">
              <a:extLst>
                <a:ext uri="{63B3BB69-23CF-44E3-9099-C40C66FF867C}">
                  <a14:compatExt spid="_x0000_s4765"/>
                </a:ext>
                <a:ext uri="{FF2B5EF4-FFF2-40B4-BE49-F238E27FC236}">
                  <a16:creationId xmlns:a16="http://schemas.microsoft.com/office/drawing/2014/main" id="{00000000-0008-0000-0200-00009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6" name="Check Box 670" hidden="1">
              <a:extLst>
                <a:ext uri="{63B3BB69-23CF-44E3-9099-C40C66FF867C}">
                  <a14:compatExt spid="_x0000_s4766"/>
                </a:ext>
                <a:ext uri="{FF2B5EF4-FFF2-40B4-BE49-F238E27FC236}">
                  <a16:creationId xmlns:a16="http://schemas.microsoft.com/office/drawing/2014/main" id="{00000000-0008-0000-0200-00009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7" name="Check Box 671" hidden="1">
              <a:extLst>
                <a:ext uri="{63B3BB69-23CF-44E3-9099-C40C66FF867C}">
                  <a14:compatExt spid="_x0000_s4767"/>
                </a:ext>
                <a:ext uri="{FF2B5EF4-FFF2-40B4-BE49-F238E27FC236}">
                  <a16:creationId xmlns:a16="http://schemas.microsoft.com/office/drawing/2014/main" id="{00000000-0008-0000-0200-00009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8" name="Check Box 672" hidden="1">
              <a:extLst>
                <a:ext uri="{63B3BB69-23CF-44E3-9099-C40C66FF867C}">
                  <a14:compatExt spid="_x0000_s4768"/>
                </a:ext>
                <a:ext uri="{FF2B5EF4-FFF2-40B4-BE49-F238E27FC236}">
                  <a16:creationId xmlns:a16="http://schemas.microsoft.com/office/drawing/2014/main" id="{00000000-0008-0000-0200-0000A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9" name="Check Box 673" hidden="1">
              <a:extLst>
                <a:ext uri="{63B3BB69-23CF-44E3-9099-C40C66FF867C}">
                  <a14:compatExt spid="_x0000_s4769"/>
                </a:ext>
                <a:ext uri="{FF2B5EF4-FFF2-40B4-BE49-F238E27FC236}">
                  <a16:creationId xmlns:a16="http://schemas.microsoft.com/office/drawing/2014/main" id="{00000000-0008-0000-0200-0000A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107950</xdr:rowOff>
        </xdr:to>
        <xdr:sp macro="" textlink="">
          <xdr:nvSpPr>
            <xdr:cNvPr id="4770" name="Check Box 674" hidden="1">
              <a:extLst>
                <a:ext uri="{63B3BB69-23CF-44E3-9099-C40C66FF867C}">
                  <a14:compatExt spid="_x0000_s4770"/>
                </a:ext>
                <a:ext uri="{FF2B5EF4-FFF2-40B4-BE49-F238E27FC236}">
                  <a16:creationId xmlns:a16="http://schemas.microsoft.com/office/drawing/2014/main" id="{00000000-0008-0000-0200-0000A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71" name="Check Box 675" hidden="1">
              <a:extLst>
                <a:ext uri="{63B3BB69-23CF-44E3-9099-C40C66FF867C}">
                  <a14:compatExt spid="_x0000_s4771"/>
                </a:ext>
                <a:ext uri="{FF2B5EF4-FFF2-40B4-BE49-F238E27FC236}">
                  <a16:creationId xmlns:a16="http://schemas.microsoft.com/office/drawing/2014/main" id="{00000000-0008-0000-0200-0000A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342900</xdr:colOff>
      <xdr:row>1</xdr:row>
      <xdr:rowOff>0</xdr:rowOff>
    </xdr:from>
    <xdr:to>
      <xdr:col>0</xdr:col>
      <xdr:colOff>923925</xdr:colOff>
      <xdr:row>1</xdr:row>
      <xdr:rowOff>676275</xdr:rowOff>
    </xdr:to>
    <xdr:pic>
      <xdr:nvPicPr>
        <xdr:cNvPr id="2" name="Picture 1">
          <a:extLst>
            <a:ext uri="{FF2B5EF4-FFF2-40B4-BE49-F238E27FC236}">
              <a16:creationId xmlns:a16="http://schemas.microsoft.com/office/drawing/2014/main" id="{883F8584-49CD-B243-6ED8-FCA07A43326F}"/>
            </a:ext>
          </a:extLst>
        </xdr:cNvPr>
        <xdr:cNvPicPr>
          <a:picLocks noChangeAspect="1"/>
        </xdr:cNvPicPr>
      </xdr:nvPicPr>
      <xdr:blipFill>
        <a:blip xmlns:r="http://schemas.openxmlformats.org/officeDocument/2006/relationships" r:embed="rId1"/>
        <a:stretch>
          <a:fillRect/>
        </a:stretch>
      </xdr:blipFill>
      <xdr:spPr>
        <a:xfrm>
          <a:off x="342900" y="219075"/>
          <a:ext cx="581025" cy="676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533400</xdr:colOff>
      <xdr:row>1</xdr:row>
      <xdr:rowOff>9525</xdr:rowOff>
    </xdr:from>
    <xdr:to>
      <xdr:col>0</xdr:col>
      <xdr:colOff>1114425</xdr:colOff>
      <xdr:row>1</xdr:row>
      <xdr:rowOff>685800</xdr:rowOff>
    </xdr:to>
    <xdr:pic>
      <xdr:nvPicPr>
        <xdr:cNvPr id="4" name="Picture 3">
          <a:extLst>
            <a:ext uri="{FF2B5EF4-FFF2-40B4-BE49-F238E27FC236}">
              <a16:creationId xmlns:a16="http://schemas.microsoft.com/office/drawing/2014/main" id="{65B136EC-7469-46CE-B546-755A734848AB}"/>
            </a:ext>
          </a:extLst>
        </xdr:cNvPr>
        <xdr:cNvPicPr>
          <a:picLocks noChangeAspect="1"/>
        </xdr:cNvPicPr>
      </xdr:nvPicPr>
      <xdr:blipFill>
        <a:blip xmlns:r="http://schemas.openxmlformats.org/officeDocument/2006/relationships" r:embed="rId1"/>
        <a:stretch>
          <a:fillRect/>
        </a:stretch>
      </xdr:blipFill>
      <xdr:spPr>
        <a:xfrm>
          <a:off x="533400" y="228600"/>
          <a:ext cx="581025" cy="6762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5</xdr:col>
      <xdr:colOff>0</xdr:colOff>
      <xdr:row>1</xdr:row>
      <xdr:rowOff>457200</xdr:rowOff>
    </xdr:to>
    <xdr:pic>
      <xdr:nvPicPr>
        <xdr:cNvPr id="2" name="Picture 1">
          <a:extLst>
            <a:ext uri="{FF2B5EF4-FFF2-40B4-BE49-F238E27FC236}">
              <a16:creationId xmlns:a16="http://schemas.microsoft.com/office/drawing/2014/main" id="{78375E45-CAAF-458C-BCBF-19D6BC3B2C63}"/>
            </a:ext>
          </a:extLst>
        </xdr:cNvPr>
        <xdr:cNvPicPr>
          <a:picLocks noChangeAspect="1"/>
        </xdr:cNvPicPr>
      </xdr:nvPicPr>
      <xdr:blipFill>
        <a:blip xmlns:r="http://schemas.openxmlformats.org/officeDocument/2006/relationships" r:embed="rId1"/>
        <a:stretch>
          <a:fillRect/>
        </a:stretch>
      </xdr:blipFill>
      <xdr:spPr>
        <a:xfrm>
          <a:off x="9182100" y="0"/>
          <a:ext cx="581025" cy="676275"/>
        </a:xfrm>
        <a:prstGeom prst="rect">
          <a:avLst/>
        </a:prstGeom>
      </xdr:spPr>
    </xdr:pic>
    <xdr:clientData/>
  </xdr:twoCellAnchor>
  <xdr:twoCellAnchor editAs="oneCell">
    <xdr:from>
      <xdr:col>0</xdr:col>
      <xdr:colOff>676275</xdr:colOff>
      <xdr:row>1</xdr:row>
      <xdr:rowOff>9525</xdr:rowOff>
    </xdr:from>
    <xdr:to>
      <xdr:col>0</xdr:col>
      <xdr:colOff>1257300</xdr:colOff>
      <xdr:row>1</xdr:row>
      <xdr:rowOff>685800</xdr:rowOff>
    </xdr:to>
    <xdr:pic>
      <xdr:nvPicPr>
        <xdr:cNvPr id="4" name="Picture 3">
          <a:extLst>
            <a:ext uri="{FF2B5EF4-FFF2-40B4-BE49-F238E27FC236}">
              <a16:creationId xmlns:a16="http://schemas.microsoft.com/office/drawing/2014/main" id="{0B2CCB35-9F7E-4DA1-9AC6-B93D34F90F0A}"/>
            </a:ext>
            <a:ext uri="{147F2762-F138-4A5C-976F-8EAC2B608ADB}">
              <a16:predDERef xmlns:a16="http://schemas.microsoft.com/office/drawing/2014/main" pred="{78375E45-CAAF-458C-BCBF-19D6BC3B2C63}"/>
            </a:ext>
          </a:extLst>
        </xdr:cNvPr>
        <xdr:cNvPicPr>
          <a:picLocks noChangeAspect="1"/>
        </xdr:cNvPicPr>
      </xdr:nvPicPr>
      <xdr:blipFill>
        <a:blip xmlns:r="http://schemas.openxmlformats.org/officeDocument/2006/relationships" r:embed="rId1"/>
        <a:stretch>
          <a:fillRect/>
        </a:stretch>
      </xdr:blipFill>
      <xdr:spPr>
        <a:xfrm>
          <a:off x="676275" y="228600"/>
          <a:ext cx="581025" cy="6762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V12" totalsRowShown="0" dataDxfId="52">
  <tableColumns count="48">
    <tableColumn id="1" xr3:uid="{00000000-0010-0000-0000-000001000000}" name="Id" dataDxfId="51">
      <extLst>
        <ext xmlns:xlmsforms="http://schemas.microsoft.com/office/spreadsheetml/2023/msForms" uri="{FCC71383-01E1-4257-9335-427F07BE8D7F}">
          <xlmsforms:question id="id"/>
        </ext>
      </extLst>
    </tableColumn>
    <tableColumn id="2" xr3:uid="{00000000-0010-0000-0000-000002000000}" name="Start time" dataDxfId="50">
      <extLst>
        <ext xmlns:xlmsforms="http://schemas.microsoft.com/office/spreadsheetml/2023/msForms" uri="{FCC71383-01E1-4257-9335-427F07BE8D7F}">
          <xlmsforms:question id="startDate"/>
        </ext>
      </extLst>
    </tableColumn>
    <tableColumn id="3" xr3:uid="{00000000-0010-0000-0000-000003000000}" name="Completion time" dataDxfId="49">
      <extLst>
        <ext xmlns:xlmsforms="http://schemas.microsoft.com/office/spreadsheetml/2023/msForms" uri="{FCC71383-01E1-4257-9335-427F07BE8D7F}">
          <xlmsforms:question id="submitDate"/>
        </ext>
      </extLst>
    </tableColumn>
    <tableColumn id="4" xr3:uid="{00000000-0010-0000-0000-000004000000}" name="Email" dataDxfId="48">
      <extLst>
        <ext xmlns:xlmsforms="http://schemas.microsoft.com/office/spreadsheetml/2023/msForms" uri="{FCC71383-01E1-4257-9335-427F07BE8D7F}">
          <xlmsforms:question id="responder"/>
        </ext>
      </extLst>
    </tableColumn>
    <tableColumn id="5" xr3:uid="{00000000-0010-0000-0000-000005000000}" name="Name" dataDxfId="47">
      <extLst>
        <ext xmlns:xlmsforms="http://schemas.microsoft.com/office/spreadsheetml/2023/msForms" uri="{FCC71383-01E1-4257-9335-427F07BE8D7F}">
          <xlmsforms:question id="responderName"/>
        </ext>
      </extLst>
    </tableColumn>
    <tableColumn id="6" xr3:uid="{00000000-0010-0000-0000-000006000000}" name="By proceeding with this form, you consent to the collection, generation, use, processing, storage and retention of your personal data by the Company for your application process. " dataDxfId="46">
      <extLst>
        <ext xmlns:xlmsforms="http://schemas.microsoft.com/office/spreadsheetml/2023/msForms" uri="{FCC71383-01E1-4257-9335-427F07BE8D7F}">
          <xlmsforms:question id="r4a175157ef464703963617ef6d9dcc09"/>
        </ext>
      </extLst>
    </tableColumn>
    <tableColumn id="7" xr3:uid="{00000000-0010-0000-0000-000007000000}" name="Full Name (First Name, Last Name)" dataDxfId="45">
      <extLst>
        <ext xmlns:xlmsforms="http://schemas.microsoft.com/office/spreadsheetml/2023/msForms" uri="{FCC71383-01E1-4257-9335-427F07BE8D7F}">
          <xlmsforms:question id="r06e934843f5f43a29e602bee8b6cc0cd"/>
        </ext>
      </extLst>
    </tableColumn>
    <tableColumn id="8" xr3:uid="{00000000-0010-0000-0000-000008000000}" name="Date Form is Accomplished" dataDxfId="44">
      <extLst>
        <ext xmlns:xlmsforms="http://schemas.microsoft.com/office/spreadsheetml/2023/msForms" uri="{FCC71383-01E1-4257-9335-427F07BE8D7F}">
          <xlmsforms:question id="red12c792c65249dd880b36e449111eed"/>
        </ext>
      </extLst>
    </tableColumn>
    <tableColumn id="9" xr3:uid="{00000000-0010-0000-0000-000009000000}" name="Position Applied For" dataDxfId="43">
      <extLst>
        <ext xmlns:xlmsforms="http://schemas.microsoft.com/office/spreadsheetml/2023/msForms" uri="{FCC71383-01E1-4257-9335-427F07BE8D7F}">
          <xlmsforms:question id="r3497b5b765d04048a37ede02618c5c4a"/>
        </ext>
      </extLst>
    </tableColumn>
    <tableColumn id="10" xr3:uid="{00000000-0010-0000-0000-00000A000000}" name="Unilab Division" dataDxfId="42">
      <extLst>
        <ext xmlns:xlmsforms="http://schemas.microsoft.com/office/spreadsheetml/2023/msForms" uri="{FCC71383-01E1-4257-9335-427F07BE8D7F}">
          <xlmsforms:question id="r5a4b2cd8f7514b0b9841882873fc4cdf"/>
        </ext>
      </extLst>
    </tableColumn>
    <tableColumn id="11" xr3:uid="{00000000-0010-0000-0000-00000B000000}" name="Expected Monthly Basic Salary" dataDxfId="41">
      <extLst>
        <ext xmlns:xlmsforms="http://schemas.microsoft.com/office/spreadsheetml/2023/msForms" uri="{FCC71383-01E1-4257-9335-427F07BE8D7F}">
          <xlmsforms:question id="r448f399ae0be4c9c9566a3ce275deba2"/>
        </ext>
      </extLst>
    </tableColumn>
    <tableColumn id="12" xr3:uid="{00000000-0010-0000-0000-00000C000000}" name="Age" dataDxfId="40">
      <extLst>
        <ext xmlns:xlmsforms="http://schemas.microsoft.com/office/spreadsheetml/2023/msForms" uri="{FCC71383-01E1-4257-9335-427F07BE8D7F}">
          <xlmsforms:question id="rd7708f169fc34ae28bca930c34615a98"/>
        </ext>
      </extLst>
    </tableColumn>
    <tableColumn id="13" xr3:uid="{00000000-0010-0000-0000-00000D000000}" name="Employment Status" dataDxfId="39">
      <extLst>
        <ext xmlns:xlmsforms="http://schemas.microsoft.com/office/spreadsheetml/2023/msForms" uri="{FCC71383-01E1-4257-9335-427F07BE8D7F}">
          <xlmsforms:question id="r2f669d8351424b6aba22dd822fd9eb95"/>
        </ext>
      </extLst>
    </tableColumn>
    <tableColumn id="14" xr3:uid="{00000000-0010-0000-0000-00000E000000}" name="Experience" dataDxfId="38">
      <extLst>
        <ext xmlns:xlmsforms="http://schemas.microsoft.com/office/spreadsheetml/2023/msForms" uri="{FCC71383-01E1-4257-9335-427F07BE8D7F}">
          <xlmsforms:question id="r9395f0e28c984d73b6a38f432e6bf518"/>
        </ext>
      </extLst>
    </tableColumn>
    <tableColumn id="15" xr3:uid="{00000000-0010-0000-0000-00000F000000}" name="Name of Current Employer" dataDxfId="37">
      <extLst>
        <ext xmlns:xlmsforms="http://schemas.microsoft.com/office/spreadsheetml/2023/msForms" uri="{FCC71383-01E1-4257-9335-427F07BE8D7F}">
          <xlmsforms:question id="ree4ea9cc57164df58b49e4f5476789be"/>
        </ext>
      </extLst>
    </tableColumn>
    <tableColumn id="16" xr3:uid="{00000000-0010-0000-0000-000010000000}" name="Industry of Last Employer" dataDxfId="36">
      <extLst>
        <ext xmlns:xlmsforms="http://schemas.microsoft.com/office/spreadsheetml/2023/msForms" uri="{FCC71383-01E1-4257-9335-427F07BE8D7F}">
          <xlmsforms:question id="r42c2f72bd4f242cdadace0110b0c262f"/>
        </ext>
      </extLst>
    </tableColumn>
    <tableColumn id="17" xr3:uid="{00000000-0010-0000-0000-000011000000}" name="Last Position Held" dataDxfId="35">
      <extLst>
        <ext xmlns:xlmsforms="http://schemas.microsoft.com/office/spreadsheetml/2023/msForms" uri="{FCC71383-01E1-4257-9335-427F07BE8D7F}">
          <xlmsforms:question id="rc6ca9e94cee64f9a841e0e929d651a4e"/>
        </ext>
      </extLst>
    </tableColumn>
    <tableColumn id="18" xr3:uid="{00000000-0010-0000-0000-000012000000}" name="Monthly Basic Salary" dataDxfId="34">
      <extLst>
        <ext xmlns:xlmsforms="http://schemas.microsoft.com/office/spreadsheetml/2023/msForms" uri="{FCC71383-01E1-4257-9335-427F07BE8D7F}">
          <xlmsforms:question id="r7e5acda70fb940dca1e4ecab01d4aa3d"/>
        </ext>
      </extLst>
    </tableColumn>
    <tableColumn id="19" xr3:uid="{00000000-0010-0000-0000-000013000000}" name="Guaranteed Months Pay" dataDxfId="33">
      <extLst>
        <ext xmlns:xlmsforms="http://schemas.microsoft.com/office/spreadsheetml/2023/msForms" uri="{FCC71383-01E1-4257-9335-427F07BE8D7F}">
          <xlmsforms:question id="r7b65870768ca4258a29f38bba7a527fb"/>
        </ext>
      </extLst>
    </tableColumn>
    <tableColumn id="20" xr3:uid="{00000000-0010-0000-0000-000014000000}" name="Other Guaranteed Bonuses (Received Annually)" dataDxfId="32">
      <extLst>
        <ext xmlns:xlmsforms="http://schemas.microsoft.com/office/spreadsheetml/2023/msForms" uri="{FCC71383-01E1-4257-9335-427F07BE8D7F}">
          <xlmsforms:question id="rf78c86e580f24657b710fe4334b5e918"/>
        </ext>
      </extLst>
    </tableColumn>
    <tableColumn id="21" xr3:uid="{00000000-0010-0000-0000-000015000000}" name="Amount of Guaranteed Bonuses  (Received Annually)" dataDxfId="31">
      <extLst>
        <ext xmlns:xlmsforms="http://schemas.microsoft.com/office/spreadsheetml/2023/msForms" uri="{FCC71383-01E1-4257-9335-427F07BE8D7F}">
          <xlmsforms:question id="r0b05f6d864014250b98bb9d25b2000e8"/>
        </ext>
      </extLst>
    </tableColumn>
    <tableColumn id="22" xr3:uid="{00000000-0010-0000-0000-000016000000}" name="Allowances (Received Monthly)" dataDxfId="30">
      <extLst>
        <ext xmlns:xlmsforms="http://schemas.microsoft.com/office/spreadsheetml/2023/msForms" uri="{FCC71383-01E1-4257-9335-427F07BE8D7F}">
          <xlmsforms:question id="r860e24a9a06f48bab6a24f5b87f639af"/>
        </ext>
      </extLst>
    </tableColumn>
    <tableColumn id="23" xr3:uid="{00000000-0010-0000-0000-000017000000}" name="Allowances (Received Monthly)1" dataDxfId="29">
      <extLst>
        <ext xmlns:xlmsforms="http://schemas.microsoft.com/office/spreadsheetml/2023/msForms" uri="{FCC71383-01E1-4257-9335-427F07BE8D7F}">
          <xlmsforms:question id="rd979c49f8c084d19b3d8e38611ab196e"/>
        </ext>
      </extLst>
    </tableColumn>
    <tableColumn id="24" xr3:uid="{00000000-0010-0000-0000-000018000000}" name="Other Allowances (Received Non-monthly; quarterly, semi-annual or annual basis )" dataDxfId="28">
      <extLst>
        <ext xmlns:xlmsforms="http://schemas.microsoft.com/office/spreadsheetml/2023/msForms" uri="{FCC71383-01E1-4257-9335-427F07BE8D7F}">
          <xlmsforms:question id="rf16764f9b3c842da939f00f6f1c090f9"/>
        </ext>
      </extLst>
    </tableColumn>
    <tableColumn id="25" xr3:uid="{00000000-0010-0000-0000-000019000000}" name="Amount of Other Allowances (Received Non-monthly; quarterly, semi-annual or annual basis )" dataDxfId="27">
      <extLst>
        <ext xmlns:xlmsforms="http://schemas.microsoft.com/office/spreadsheetml/2023/msForms" uri="{FCC71383-01E1-4257-9335-427F07BE8D7F}">
          <xlmsforms:question id="rf32d6d9fcfee463f96a0bedb65fb18be"/>
        </ext>
      </extLst>
    </tableColumn>
    <tableColumn id="26" xr3:uid="{00000000-0010-0000-0000-00001A000000}" name="Fixed Non-Taxable Allowances (Received Monthly)" dataDxfId="26">
      <extLst>
        <ext xmlns:xlmsforms="http://schemas.microsoft.com/office/spreadsheetml/2023/msForms" uri="{FCC71383-01E1-4257-9335-427F07BE8D7F}">
          <xlmsforms:question id="r62f1882af3dd459f90edb87f22275400"/>
        </ext>
      </extLst>
    </tableColumn>
    <tableColumn id="27" xr3:uid="{00000000-0010-0000-0000-00001B000000}" name="Amount of Fixed Non-Taxable Allowances (Received Monthly)" dataDxfId="25">
      <extLst>
        <ext xmlns:xlmsforms="http://schemas.microsoft.com/office/spreadsheetml/2023/msForms" uri="{FCC71383-01E1-4257-9335-427F07BE8D7F}">
          <xlmsforms:question id="rda54c99fdd5247f3b85c1dd92a939a65"/>
        </ext>
      </extLst>
    </tableColumn>
    <tableColumn id="28" xr3:uid="{00000000-0010-0000-0000-00001C000000}" name="Fixed Non-Taxable Allowances (Received Annually)" dataDxfId="24">
      <extLst>
        <ext xmlns:xlmsforms="http://schemas.microsoft.com/office/spreadsheetml/2023/msForms" uri="{FCC71383-01E1-4257-9335-427F07BE8D7F}">
          <xlmsforms:question id="r683e9f2646de4f0a935601c57be90c60"/>
        </ext>
      </extLst>
    </tableColumn>
    <tableColumn id="29" xr3:uid="{00000000-0010-0000-0000-00001D000000}" name="Amount of Fixed Non-Taxable Allowances (Received Annually)" dataDxfId="23">
      <extLst>
        <ext xmlns:xlmsforms="http://schemas.microsoft.com/office/spreadsheetml/2023/msForms" uri="{FCC71383-01E1-4257-9335-427F07BE8D7F}">
          <xlmsforms:question id="r2571c485336e4113869fa97bab865647"/>
        </ext>
      </extLst>
    </tableColumn>
    <tableColumn id="30" xr3:uid="{00000000-0010-0000-0000-00001E000000}" name="Profit Sharing" dataDxfId="22">
      <extLst>
        <ext xmlns:xlmsforms="http://schemas.microsoft.com/office/spreadsheetml/2023/msForms" uri="{FCC71383-01E1-4257-9335-427F07BE8D7F}">
          <xlmsforms:question id="r4803f2e7c34048249c8e1e0f5203682e"/>
        </ext>
      </extLst>
    </tableColumn>
    <tableColumn id="31" xr3:uid="{00000000-0010-0000-0000-00001F000000}" name="Total Incentives / Commission (Annual)" dataDxfId="21">
      <extLst>
        <ext xmlns:xlmsforms="http://schemas.microsoft.com/office/spreadsheetml/2023/msForms" uri="{FCC71383-01E1-4257-9335-427F07BE8D7F}">
          <xlmsforms:question id="re7453e8baae4461087f12b75351f4011"/>
        </ext>
      </extLst>
    </tableColumn>
    <tableColumn id="32" xr3:uid="{00000000-0010-0000-0000-000020000000}" name="Total Incentives / Commission (Annual)1" dataDxfId="20">
      <extLst>
        <ext xmlns:xlmsforms="http://schemas.microsoft.com/office/spreadsheetml/2023/msForms" uri="{FCC71383-01E1-4257-9335-427F07BE8D7F}">
          <xlmsforms:question id="rd0538f9907c445c7af9f80b73664b107"/>
        </ext>
      </extLst>
    </tableColumn>
    <tableColumn id="33" xr3:uid="{00000000-0010-0000-0000-000021000000}" name="Other variable Pay (Annual)" dataDxfId="19">
      <extLst>
        <ext xmlns:xlmsforms="http://schemas.microsoft.com/office/spreadsheetml/2023/msForms" uri="{FCC71383-01E1-4257-9335-427F07BE8D7F}">
          <xlmsforms:question id="r0d5d007413f14546a81eb0275edccb7e"/>
        </ext>
      </extLst>
    </tableColumn>
    <tableColumn id="34" xr3:uid="{00000000-0010-0000-0000-000022000000}" name="Amount of Other variable Pay (Annual)" dataDxfId="18">
      <extLst>
        <ext xmlns:xlmsforms="http://schemas.microsoft.com/office/spreadsheetml/2023/msForms" uri="{FCC71383-01E1-4257-9335-427F07BE8D7F}">
          <xlmsforms:question id="r38879791076048b58c1405aaee62cfac"/>
        </ext>
      </extLst>
    </tableColumn>
    <tableColumn id="35" xr3:uid="{00000000-0010-0000-0000-000023000000}" name="HMO Benefit Limit for Employee" dataDxfId="17">
      <extLst>
        <ext xmlns:xlmsforms="http://schemas.microsoft.com/office/spreadsheetml/2023/msForms" uri="{FCC71383-01E1-4257-9335-427F07BE8D7F}">
          <xlmsforms:question id="r02fbd437ab39464b988db7983e371690"/>
        </ext>
      </extLst>
    </tableColumn>
    <tableColumn id="36" xr3:uid="{00000000-0010-0000-0000-000024000000}" name="HMO Benefit Limit for Dependents" dataDxfId="16">
      <extLst>
        <ext xmlns:xlmsforms="http://schemas.microsoft.com/office/spreadsheetml/2023/msForms" uri="{FCC71383-01E1-4257-9335-427F07BE8D7F}">
          <xlmsforms:question id="r39bbf53641424821a7e0ba6a38ab98f3"/>
        </ext>
      </extLst>
    </tableColumn>
    <tableColumn id="37" xr3:uid="{00000000-0010-0000-0000-000025000000}" name="Dental" dataDxfId="15">
      <extLst>
        <ext xmlns:xlmsforms="http://schemas.microsoft.com/office/spreadsheetml/2023/msForms" uri="{FCC71383-01E1-4257-9335-427F07BE8D7F}">
          <xlmsforms:question id="r9dc5441a6ce24edcb02c3322a0fed996"/>
        </ext>
      </extLst>
    </tableColumn>
    <tableColumn id="38" xr3:uid="{00000000-0010-0000-0000-000026000000}" name="Medicine Reimbursement" dataDxfId="14">
      <extLst>
        <ext xmlns:xlmsforms="http://schemas.microsoft.com/office/spreadsheetml/2023/msForms" uri="{FCC71383-01E1-4257-9335-427F07BE8D7F}">
          <xlmsforms:question id="r62d4dd85186548c0a8a53366e2e8fa68"/>
        </ext>
      </extLst>
    </tableColumn>
    <tableColumn id="39" xr3:uid="{00000000-0010-0000-0000-000027000000}" name="Optical" dataDxfId="13">
      <extLst>
        <ext xmlns:xlmsforms="http://schemas.microsoft.com/office/spreadsheetml/2023/msForms" uri="{FCC71383-01E1-4257-9335-427F07BE8D7F}">
          <xlmsforms:question id="r2208b7f455224512a3c4e4d297c77582"/>
        </ext>
      </extLst>
    </tableColumn>
    <tableColumn id="40" xr3:uid="{00000000-0010-0000-0000-000028000000}" name="Other Health Benefits" dataDxfId="12">
      <extLst>
        <ext xmlns:xlmsforms="http://schemas.microsoft.com/office/spreadsheetml/2023/msForms" uri="{FCC71383-01E1-4257-9335-427F07BE8D7F}">
          <xlmsforms:question id="rda0a3770f7014c0aac2bb6a1382a68fb"/>
        </ext>
      </extLst>
    </tableColumn>
    <tableColumn id="41" xr3:uid="{00000000-0010-0000-0000-000029000000}" name="Optional/Vacation Leaves" dataDxfId="11">
      <extLst>
        <ext xmlns:xlmsforms="http://schemas.microsoft.com/office/spreadsheetml/2023/msForms" uri="{FCC71383-01E1-4257-9335-427F07BE8D7F}">
          <xlmsforms:question id="r561a7c54a908438f97865e4efea5b6a5"/>
        </ext>
      </extLst>
    </tableColumn>
    <tableColumn id="42" xr3:uid="{00000000-0010-0000-0000-00002A000000}" name="Sick Leave" dataDxfId="10">
      <extLst>
        <ext xmlns:xlmsforms="http://schemas.microsoft.com/office/spreadsheetml/2023/msForms" uri="{FCC71383-01E1-4257-9335-427F07BE8D7F}">
          <xlmsforms:question id="r7121ef83a8824f33a2e5d15d95020937"/>
        </ext>
      </extLst>
    </tableColumn>
    <tableColumn id="43" xr3:uid="{00000000-0010-0000-0000-00002B000000}" name="Other Leaves" dataDxfId="9">
      <extLst>
        <ext xmlns:xlmsforms="http://schemas.microsoft.com/office/spreadsheetml/2023/msForms" uri="{FCC71383-01E1-4257-9335-427F07BE8D7F}">
          <xlmsforms:question id="r8a5fec78e81e487d94d4d470d5e64112"/>
        </ext>
      </extLst>
    </tableColumn>
    <tableColumn id="44" xr3:uid="{00000000-0010-0000-0000-00002C000000}" name="Life Insurance" dataDxfId="8">
      <extLst>
        <ext xmlns:xlmsforms="http://schemas.microsoft.com/office/spreadsheetml/2023/msForms" uri="{FCC71383-01E1-4257-9335-427F07BE8D7F}">
          <xlmsforms:question id="r83ea402633ba4c0f9ec15c3a062d38a0"/>
        </ext>
      </extLst>
    </tableColumn>
    <tableColumn id="45" xr3:uid="{00000000-0010-0000-0000-00002D000000}" name="Other Benefits you are receiving but not asked in this form" dataDxfId="7">
      <extLst>
        <ext xmlns:xlmsforms="http://schemas.microsoft.com/office/spreadsheetml/2023/msForms" uri="{FCC71383-01E1-4257-9335-427F07BE8D7F}">
          <xlmsforms:question id="rbebb836726aa41b0a00827eb1cd3fc99"/>
        </ext>
      </extLst>
    </tableColumn>
    <tableColumn id="46" xr3:uid="{6FEAB525-3139-464B-A9AD-26BD63B37383}" name="Car / Vehicle or Car Plan if received in cash" dataDxfId="6">
      <extLst>
        <ext xmlns:xlmsforms="http://schemas.microsoft.com/office/spreadsheetml/2023/msForms" uri="{FCC71383-01E1-4257-9335-427F07BE8D7F}">
          <xlmsforms:question id="r5925d1b5018247c4ba11627f9a93847a"/>
        </ext>
      </extLst>
    </tableColumn>
    <tableColumn id="47" xr3:uid="{53A056D3-CB08-411D-844B-92D9DEE8C1FD}" name="Cellular Phone" dataDxfId="5">
      <extLst>
        <ext xmlns:xlmsforms="http://schemas.microsoft.com/office/spreadsheetml/2023/msForms" uri="{FCC71383-01E1-4257-9335-427F07BE8D7F}">
          <xlmsforms:question id="ra16ed9c29aae437dbe5c411bd8a21471"/>
        </ext>
      </extLst>
    </tableColumn>
    <tableColumn id="65" xr3:uid="{F0196F21-04C9-486F-92C0-9C3C5E7D2005}" name="ACCEPTED (TA)" dataDxfId="4"/>
  </tableColumns>
  <tableStyleInfo name="TableStyleMedium2" showFirstColumn="0" showLastColumn="0" showRowStripes="1" showColumnStripes="0"/>
  <extLst>
    <ext xmlns:xlmsforms="http://schemas.microsoft.com/office/spreadsheetml/2023/msForms" uri="{839C7E11-91E4-4DBD-9C5D-0DEA604FA9AC}">
      <xlmsforms:msForm id="UzTI9rjtt0SGOW0JDgEaYwAJ7O5W5oNHqeVpcGYO6jhUMkhNRE5USjE2MVJNN1JTVFQwOFhGNVFBTi4u" isFormConnected="1" maxResponseId="44" latestEventMarker="68">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r4a175157ef464703963617ef6d9dcc09</xlmsforms:syncedQuestionId>
        <xlmsforms:syncedQuestionId>r06e934843f5f43a29e602bee8b6cc0cd</xlmsforms:syncedQuestionId>
        <xlmsforms:syncedQuestionId>red12c792c65249dd880b36e449111eed</xlmsforms:syncedQuestionId>
        <xlmsforms:syncedQuestionId>r3497b5b765d04048a37ede02618c5c4a</xlmsforms:syncedQuestionId>
        <xlmsforms:syncedQuestionId>r5a4b2cd8f7514b0b9841882873fc4cdf</xlmsforms:syncedQuestionId>
        <xlmsforms:syncedQuestionId>r448f399ae0be4c9c9566a3ce275deba2</xlmsforms:syncedQuestionId>
        <xlmsforms:syncedQuestionId>rd7708f169fc34ae28bca930c34615a98</xlmsforms:syncedQuestionId>
        <xlmsforms:syncedQuestionId>r2f669d8351424b6aba22dd822fd9eb95</xlmsforms:syncedQuestionId>
        <xlmsforms:syncedQuestionId>r9395f0e28c984d73b6a38f432e6bf518</xlmsforms:syncedQuestionId>
        <xlmsforms:syncedQuestionId>ree4ea9cc57164df58b49e4f5476789be</xlmsforms:syncedQuestionId>
        <xlmsforms:syncedQuestionId>r42c2f72bd4f242cdadace0110b0c262f</xlmsforms:syncedQuestionId>
        <xlmsforms:syncedQuestionId>rc6ca9e94cee64f9a841e0e929d651a4e</xlmsforms:syncedQuestionId>
        <xlmsforms:syncedQuestionId>r7e5acda70fb940dca1e4ecab01d4aa3d</xlmsforms:syncedQuestionId>
        <xlmsforms:syncedQuestionId>r7b65870768ca4258a29f38bba7a527fb</xlmsforms:syncedQuestionId>
        <xlmsforms:syncedQuestionId>rf78c86e580f24657b710fe4334b5e918</xlmsforms:syncedQuestionId>
        <xlmsforms:syncedQuestionId>r0b05f6d864014250b98bb9d25b2000e8</xlmsforms:syncedQuestionId>
        <xlmsforms:syncedQuestionId>r860e24a9a06f48bab6a24f5b87f639af</xlmsforms:syncedQuestionId>
        <xlmsforms:syncedQuestionId>rd979c49f8c084d19b3d8e38611ab196e</xlmsforms:syncedQuestionId>
        <xlmsforms:syncedQuestionId>rf16764f9b3c842da939f00f6f1c090f9</xlmsforms:syncedQuestionId>
        <xlmsforms:syncedQuestionId>rf32d6d9fcfee463f96a0bedb65fb18be</xlmsforms:syncedQuestionId>
        <xlmsforms:syncedQuestionId>r62f1882af3dd459f90edb87f22275400</xlmsforms:syncedQuestionId>
        <xlmsforms:syncedQuestionId>rda54c99fdd5247f3b85c1dd92a939a65</xlmsforms:syncedQuestionId>
        <xlmsforms:syncedQuestionId>r683e9f2646de4f0a935601c57be90c60</xlmsforms:syncedQuestionId>
        <xlmsforms:syncedQuestionId>r2571c485336e4113869fa97bab865647</xlmsforms:syncedQuestionId>
        <xlmsforms:syncedQuestionId>r4803f2e7c34048249c8e1e0f5203682e</xlmsforms:syncedQuestionId>
        <xlmsforms:syncedQuestionId>re7453e8baae4461087f12b75351f4011</xlmsforms:syncedQuestionId>
        <xlmsforms:syncedQuestionId>rd0538f9907c445c7af9f80b73664b107</xlmsforms:syncedQuestionId>
        <xlmsforms:syncedQuestionId>r0d5d007413f14546a81eb0275edccb7e</xlmsforms:syncedQuestionId>
        <xlmsforms:syncedQuestionId>r38879791076048b58c1405aaee62cfac</xlmsforms:syncedQuestionId>
        <xlmsforms:syncedQuestionId>r02fbd437ab39464b988db7983e371690</xlmsforms:syncedQuestionId>
        <xlmsforms:syncedQuestionId>r39bbf53641424821a7e0ba6a38ab98f3</xlmsforms:syncedQuestionId>
        <xlmsforms:syncedQuestionId>r9dc5441a6ce24edcb02c3322a0fed996</xlmsforms:syncedQuestionId>
        <xlmsforms:syncedQuestionId>r62d4dd85186548c0a8a53366e2e8fa68</xlmsforms:syncedQuestionId>
        <xlmsforms:syncedQuestionId>r2208b7f455224512a3c4e4d297c77582</xlmsforms:syncedQuestionId>
        <xlmsforms:syncedQuestionId>rda0a3770f7014c0aac2bb6a1382a68fb</xlmsforms:syncedQuestionId>
        <xlmsforms:syncedQuestionId>r561a7c54a908438f97865e4efea5b6a5</xlmsforms:syncedQuestionId>
        <xlmsforms:syncedQuestionId>r7121ef83a8824f33a2e5d15d95020937</xlmsforms:syncedQuestionId>
        <xlmsforms:syncedQuestionId>r8a5fec78e81e487d94d4d470d5e64112</xlmsforms:syncedQuestionId>
        <xlmsforms:syncedQuestionId>r83ea402633ba4c0f9ec15c3a062d38a0</xlmsforms:syncedQuestionId>
        <xlmsforms:syncedQuestionId>rbebb836726aa41b0a00827eb1cd3fc99</xlmsforms:syncedQuestionId>
        <xlmsforms:syncedQuestionId>r5925d1b5018247c4ba11627f9a93847a</xlmsforms:syncedQuestionId>
        <xlmsforms:syncedQuestionId>ra16ed9c29aae437dbe5c411bd8a21471</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671" Type="http://schemas.openxmlformats.org/officeDocument/2006/relationships/ctrlProp" Target="../ctrlProps/ctrlProp668.xml"/><Relationship Id="rId21" Type="http://schemas.openxmlformats.org/officeDocument/2006/relationships/ctrlProp" Target="../ctrlProps/ctrlProp18.xml"/><Relationship Id="rId324" Type="http://schemas.openxmlformats.org/officeDocument/2006/relationships/ctrlProp" Target="../ctrlProps/ctrlProp321.xml"/><Relationship Id="rId531" Type="http://schemas.openxmlformats.org/officeDocument/2006/relationships/ctrlProp" Target="../ctrlProps/ctrlProp528.xml"/><Relationship Id="rId629" Type="http://schemas.openxmlformats.org/officeDocument/2006/relationships/ctrlProp" Target="../ctrlProps/ctrlProp626.xml"/><Relationship Id="rId170" Type="http://schemas.openxmlformats.org/officeDocument/2006/relationships/ctrlProp" Target="../ctrlProps/ctrlProp167.xml"/><Relationship Id="rId268" Type="http://schemas.openxmlformats.org/officeDocument/2006/relationships/ctrlProp" Target="../ctrlProps/ctrlProp265.xml"/><Relationship Id="rId475" Type="http://schemas.openxmlformats.org/officeDocument/2006/relationships/ctrlProp" Target="../ctrlProps/ctrlProp472.xml"/><Relationship Id="rId32" Type="http://schemas.openxmlformats.org/officeDocument/2006/relationships/ctrlProp" Target="../ctrlProps/ctrlProp29.xml"/><Relationship Id="rId128" Type="http://schemas.openxmlformats.org/officeDocument/2006/relationships/ctrlProp" Target="../ctrlProps/ctrlProp125.xml"/><Relationship Id="rId335" Type="http://schemas.openxmlformats.org/officeDocument/2006/relationships/ctrlProp" Target="../ctrlProps/ctrlProp332.xml"/><Relationship Id="rId542" Type="http://schemas.openxmlformats.org/officeDocument/2006/relationships/ctrlProp" Target="../ctrlProps/ctrlProp539.xml"/><Relationship Id="rId181" Type="http://schemas.openxmlformats.org/officeDocument/2006/relationships/ctrlProp" Target="../ctrlProps/ctrlProp178.xml"/><Relationship Id="rId402" Type="http://schemas.openxmlformats.org/officeDocument/2006/relationships/ctrlProp" Target="../ctrlProps/ctrlProp399.xml"/><Relationship Id="rId279" Type="http://schemas.openxmlformats.org/officeDocument/2006/relationships/ctrlProp" Target="../ctrlProps/ctrlProp276.xml"/><Relationship Id="rId486" Type="http://schemas.openxmlformats.org/officeDocument/2006/relationships/ctrlProp" Target="../ctrlProps/ctrlProp483.xml"/><Relationship Id="rId43" Type="http://schemas.openxmlformats.org/officeDocument/2006/relationships/ctrlProp" Target="../ctrlProps/ctrlProp40.xml"/><Relationship Id="rId139" Type="http://schemas.openxmlformats.org/officeDocument/2006/relationships/ctrlProp" Target="../ctrlProps/ctrlProp136.xml"/><Relationship Id="rId346" Type="http://schemas.openxmlformats.org/officeDocument/2006/relationships/ctrlProp" Target="../ctrlProps/ctrlProp343.xml"/><Relationship Id="rId553" Type="http://schemas.openxmlformats.org/officeDocument/2006/relationships/ctrlProp" Target="../ctrlProps/ctrlProp550.xml"/><Relationship Id="rId192" Type="http://schemas.openxmlformats.org/officeDocument/2006/relationships/ctrlProp" Target="../ctrlProps/ctrlProp189.xml"/><Relationship Id="rId206" Type="http://schemas.openxmlformats.org/officeDocument/2006/relationships/ctrlProp" Target="../ctrlProps/ctrlProp203.xml"/><Relationship Id="rId413" Type="http://schemas.openxmlformats.org/officeDocument/2006/relationships/ctrlProp" Target="../ctrlProps/ctrlProp410.xml"/><Relationship Id="rId497" Type="http://schemas.openxmlformats.org/officeDocument/2006/relationships/ctrlProp" Target="../ctrlProps/ctrlProp494.xml"/><Relationship Id="rId620" Type="http://schemas.openxmlformats.org/officeDocument/2006/relationships/ctrlProp" Target="../ctrlProps/ctrlProp617.xml"/><Relationship Id="rId357" Type="http://schemas.openxmlformats.org/officeDocument/2006/relationships/ctrlProp" Target="../ctrlProps/ctrlProp354.xml"/><Relationship Id="rId54" Type="http://schemas.openxmlformats.org/officeDocument/2006/relationships/ctrlProp" Target="../ctrlProps/ctrlProp51.xml"/><Relationship Id="rId217" Type="http://schemas.openxmlformats.org/officeDocument/2006/relationships/ctrlProp" Target="../ctrlProps/ctrlProp214.xml"/><Relationship Id="rId564" Type="http://schemas.openxmlformats.org/officeDocument/2006/relationships/ctrlProp" Target="../ctrlProps/ctrlProp561.xml"/><Relationship Id="rId424" Type="http://schemas.openxmlformats.org/officeDocument/2006/relationships/ctrlProp" Target="../ctrlProps/ctrlProp421.xml"/><Relationship Id="rId631" Type="http://schemas.openxmlformats.org/officeDocument/2006/relationships/ctrlProp" Target="../ctrlProps/ctrlProp628.xml"/><Relationship Id="rId270" Type="http://schemas.openxmlformats.org/officeDocument/2006/relationships/ctrlProp" Target="../ctrlProps/ctrlProp267.xml"/><Relationship Id="rId65" Type="http://schemas.openxmlformats.org/officeDocument/2006/relationships/ctrlProp" Target="../ctrlProps/ctrlProp62.xml"/><Relationship Id="rId130" Type="http://schemas.openxmlformats.org/officeDocument/2006/relationships/ctrlProp" Target="../ctrlProps/ctrlProp127.xml"/><Relationship Id="rId368" Type="http://schemas.openxmlformats.org/officeDocument/2006/relationships/ctrlProp" Target="../ctrlProps/ctrlProp365.xml"/><Relationship Id="rId575" Type="http://schemas.openxmlformats.org/officeDocument/2006/relationships/ctrlProp" Target="../ctrlProps/ctrlProp572.xml"/><Relationship Id="rId228" Type="http://schemas.openxmlformats.org/officeDocument/2006/relationships/ctrlProp" Target="../ctrlProps/ctrlProp225.xml"/><Relationship Id="rId435" Type="http://schemas.openxmlformats.org/officeDocument/2006/relationships/ctrlProp" Target="../ctrlProps/ctrlProp432.xml"/><Relationship Id="rId642" Type="http://schemas.openxmlformats.org/officeDocument/2006/relationships/ctrlProp" Target="../ctrlProps/ctrlProp639.xml"/><Relationship Id="rId281" Type="http://schemas.openxmlformats.org/officeDocument/2006/relationships/ctrlProp" Target="../ctrlProps/ctrlProp278.xml"/><Relationship Id="rId502" Type="http://schemas.openxmlformats.org/officeDocument/2006/relationships/ctrlProp" Target="../ctrlProps/ctrlProp499.xml"/><Relationship Id="rId76" Type="http://schemas.openxmlformats.org/officeDocument/2006/relationships/ctrlProp" Target="../ctrlProps/ctrlProp73.xml"/><Relationship Id="rId141" Type="http://schemas.openxmlformats.org/officeDocument/2006/relationships/ctrlProp" Target="../ctrlProps/ctrlProp138.xml"/><Relationship Id="rId379" Type="http://schemas.openxmlformats.org/officeDocument/2006/relationships/ctrlProp" Target="../ctrlProps/ctrlProp376.xml"/><Relationship Id="rId586" Type="http://schemas.openxmlformats.org/officeDocument/2006/relationships/ctrlProp" Target="../ctrlProps/ctrlProp583.xml"/><Relationship Id="rId7" Type="http://schemas.openxmlformats.org/officeDocument/2006/relationships/ctrlProp" Target="../ctrlProps/ctrlProp4.xml"/><Relationship Id="rId239" Type="http://schemas.openxmlformats.org/officeDocument/2006/relationships/ctrlProp" Target="../ctrlProps/ctrlProp236.xml"/><Relationship Id="rId446" Type="http://schemas.openxmlformats.org/officeDocument/2006/relationships/ctrlProp" Target="../ctrlProps/ctrlProp443.xml"/><Relationship Id="rId653" Type="http://schemas.openxmlformats.org/officeDocument/2006/relationships/ctrlProp" Target="../ctrlProps/ctrlProp650.xml"/><Relationship Id="rId292" Type="http://schemas.openxmlformats.org/officeDocument/2006/relationships/ctrlProp" Target="../ctrlProps/ctrlProp289.xml"/><Relationship Id="rId306" Type="http://schemas.openxmlformats.org/officeDocument/2006/relationships/ctrlProp" Target="../ctrlProps/ctrlProp303.xml"/><Relationship Id="rId87" Type="http://schemas.openxmlformats.org/officeDocument/2006/relationships/ctrlProp" Target="../ctrlProps/ctrlProp84.xml"/><Relationship Id="rId513" Type="http://schemas.openxmlformats.org/officeDocument/2006/relationships/ctrlProp" Target="../ctrlProps/ctrlProp510.xml"/><Relationship Id="rId597" Type="http://schemas.openxmlformats.org/officeDocument/2006/relationships/ctrlProp" Target="../ctrlProps/ctrlProp594.xml"/><Relationship Id="rId152" Type="http://schemas.openxmlformats.org/officeDocument/2006/relationships/ctrlProp" Target="../ctrlProps/ctrlProp149.xml"/><Relationship Id="rId457" Type="http://schemas.openxmlformats.org/officeDocument/2006/relationships/ctrlProp" Target="../ctrlProps/ctrlProp454.xml"/><Relationship Id="rId664" Type="http://schemas.openxmlformats.org/officeDocument/2006/relationships/ctrlProp" Target="../ctrlProps/ctrlProp661.xml"/><Relationship Id="rId14" Type="http://schemas.openxmlformats.org/officeDocument/2006/relationships/ctrlProp" Target="../ctrlProps/ctrlProp11.xml"/><Relationship Id="rId317" Type="http://schemas.openxmlformats.org/officeDocument/2006/relationships/ctrlProp" Target="../ctrlProps/ctrlProp314.xml"/><Relationship Id="rId524" Type="http://schemas.openxmlformats.org/officeDocument/2006/relationships/ctrlProp" Target="../ctrlProps/ctrlProp521.xml"/><Relationship Id="rId98" Type="http://schemas.openxmlformats.org/officeDocument/2006/relationships/ctrlProp" Target="../ctrlProps/ctrlProp95.xml"/><Relationship Id="rId163" Type="http://schemas.openxmlformats.org/officeDocument/2006/relationships/ctrlProp" Target="../ctrlProps/ctrlProp160.xml"/><Relationship Id="rId370" Type="http://schemas.openxmlformats.org/officeDocument/2006/relationships/ctrlProp" Target="../ctrlProps/ctrlProp367.xml"/><Relationship Id="rId230" Type="http://schemas.openxmlformats.org/officeDocument/2006/relationships/ctrlProp" Target="../ctrlProps/ctrlProp227.xml"/><Relationship Id="rId468" Type="http://schemas.openxmlformats.org/officeDocument/2006/relationships/ctrlProp" Target="../ctrlProps/ctrlProp465.xml"/><Relationship Id="rId675" Type="http://schemas.openxmlformats.org/officeDocument/2006/relationships/ctrlProp" Target="../ctrlProps/ctrlProp672.xml"/><Relationship Id="rId25" Type="http://schemas.openxmlformats.org/officeDocument/2006/relationships/ctrlProp" Target="../ctrlProps/ctrlProp22.xml"/><Relationship Id="rId328" Type="http://schemas.openxmlformats.org/officeDocument/2006/relationships/ctrlProp" Target="../ctrlProps/ctrlProp325.xml"/><Relationship Id="rId535" Type="http://schemas.openxmlformats.org/officeDocument/2006/relationships/ctrlProp" Target="../ctrlProps/ctrlProp532.xml"/><Relationship Id="rId174" Type="http://schemas.openxmlformats.org/officeDocument/2006/relationships/ctrlProp" Target="../ctrlProps/ctrlProp171.xml"/><Relationship Id="rId381" Type="http://schemas.openxmlformats.org/officeDocument/2006/relationships/ctrlProp" Target="../ctrlProps/ctrlProp378.xml"/><Relationship Id="rId602" Type="http://schemas.openxmlformats.org/officeDocument/2006/relationships/ctrlProp" Target="../ctrlProps/ctrlProp599.xml"/><Relationship Id="rId241" Type="http://schemas.openxmlformats.org/officeDocument/2006/relationships/ctrlProp" Target="../ctrlProps/ctrlProp238.xml"/><Relationship Id="rId479" Type="http://schemas.openxmlformats.org/officeDocument/2006/relationships/ctrlProp" Target="../ctrlProps/ctrlProp476.xml"/><Relationship Id="rId36" Type="http://schemas.openxmlformats.org/officeDocument/2006/relationships/ctrlProp" Target="../ctrlProps/ctrlProp33.xml"/><Relationship Id="rId339" Type="http://schemas.openxmlformats.org/officeDocument/2006/relationships/ctrlProp" Target="../ctrlProps/ctrlProp336.xml"/><Relationship Id="rId546" Type="http://schemas.openxmlformats.org/officeDocument/2006/relationships/ctrlProp" Target="../ctrlProps/ctrlProp543.xml"/><Relationship Id="rId101" Type="http://schemas.openxmlformats.org/officeDocument/2006/relationships/ctrlProp" Target="../ctrlProps/ctrlProp98.xml"/><Relationship Id="rId185" Type="http://schemas.openxmlformats.org/officeDocument/2006/relationships/ctrlProp" Target="../ctrlProps/ctrlProp182.xml"/><Relationship Id="rId406" Type="http://schemas.openxmlformats.org/officeDocument/2006/relationships/ctrlProp" Target="../ctrlProps/ctrlProp403.xml"/><Relationship Id="rId392" Type="http://schemas.openxmlformats.org/officeDocument/2006/relationships/ctrlProp" Target="../ctrlProps/ctrlProp389.xml"/><Relationship Id="rId613" Type="http://schemas.openxmlformats.org/officeDocument/2006/relationships/ctrlProp" Target="../ctrlProps/ctrlProp610.xml"/><Relationship Id="rId252" Type="http://schemas.openxmlformats.org/officeDocument/2006/relationships/ctrlProp" Target="../ctrlProps/ctrlProp249.xml"/><Relationship Id="rId47" Type="http://schemas.openxmlformats.org/officeDocument/2006/relationships/ctrlProp" Target="../ctrlProps/ctrlProp44.xml"/><Relationship Id="rId112" Type="http://schemas.openxmlformats.org/officeDocument/2006/relationships/ctrlProp" Target="../ctrlProps/ctrlProp109.xml"/><Relationship Id="rId557" Type="http://schemas.openxmlformats.org/officeDocument/2006/relationships/ctrlProp" Target="../ctrlProps/ctrlProp554.xml"/><Relationship Id="rId196" Type="http://schemas.openxmlformats.org/officeDocument/2006/relationships/ctrlProp" Target="../ctrlProps/ctrlProp193.xml"/><Relationship Id="rId417" Type="http://schemas.openxmlformats.org/officeDocument/2006/relationships/ctrlProp" Target="../ctrlProps/ctrlProp414.xml"/><Relationship Id="rId624" Type="http://schemas.openxmlformats.org/officeDocument/2006/relationships/ctrlProp" Target="../ctrlProps/ctrlProp621.xml"/><Relationship Id="rId263" Type="http://schemas.openxmlformats.org/officeDocument/2006/relationships/ctrlProp" Target="../ctrlProps/ctrlProp260.xml"/><Relationship Id="rId470" Type="http://schemas.openxmlformats.org/officeDocument/2006/relationships/ctrlProp" Target="../ctrlProps/ctrlProp467.xml"/><Relationship Id="rId58" Type="http://schemas.openxmlformats.org/officeDocument/2006/relationships/ctrlProp" Target="../ctrlProps/ctrlProp55.xml"/><Relationship Id="rId123" Type="http://schemas.openxmlformats.org/officeDocument/2006/relationships/ctrlProp" Target="../ctrlProps/ctrlProp120.xml"/><Relationship Id="rId330" Type="http://schemas.openxmlformats.org/officeDocument/2006/relationships/ctrlProp" Target="../ctrlProps/ctrlProp327.xml"/><Relationship Id="rId568" Type="http://schemas.openxmlformats.org/officeDocument/2006/relationships/ctrlProp" Target="../ctrlProps/ctrlProp565.xml"/><Relationship Id="rId428" Type="http://schemas.openxmlformats.org/officeDocument/2006/relationships/ctrlProp" Target="../ctrlProps/ctrlProp425.xml"/><Relationship Id="rId635" Type="http://schemas.openxmlformats.org/officeDocument/2006/relationships/ctrlProp" Target="../ctrlProps/ctrlProp632.xml"/><Relationship Id="rId274" Type="http://schemas.openxmlformats.org/officeDocument/2006/relationships/ctrlProp" Target="../ctrlProps/ctrlProp271.xml"/><Relationship Id="rId481" Type="http://schemas.openxmlformats.org/officeDocument/2006/relationships/ctrlProp" Target="../ctrlProps/ctrlProp478.xml"/><Relationship Id="rId69" Type="http://schemas.openxmlformats.org/officeDocument/2006/relationships/ctrlProp" Target="../ctrlProps/ctrlProp66.xml"/><Relationship Id="rId134" Type="http://schemas.openxmlformats.org/officeDocument/2006/relationships/ctrlProp" Target="../ctrlProps/ctrlProp131.xml"/><Relationship Id="rId579" Type="http://schemas.openxmlformats.org/officeDocument/2006/relationships/ctrlProp" Target="../ctrlProps/ctrlProp576.xml"/><Relationship Id="rId341" Type="http://schemas.openxmlformats.org/officeDocument/2006/relationships/ctrlProp" Target="../ctrlProps/ctrlProp338.xml"/><Relationship Id="rId439" Type="http://schemas.openxmlformats.org/officeDocument/2006/relationships/ctrlProp" Target="../ctrlProps/ctrlProp436.xml"/><Relationship Id="rId646" Type="http://schemas.openxmlformats.org/officeDocument/2006/relationships/ctrlProp" Target="../ctrlProps/ctrlProp643.xml"/><Relationship Id="rId201" Type="http://schemas.openxmlformats.org/officeDocument/2006/relationships/ctrlProp" Target="../ctrlProps/ctrlProp198.xml"/><Relationship Id="rId285" Type="http://schemas.openxmlformats.org/officeDocument/2006/relationships/ctrlProp" Target="../ctrlProps/ctrlProp282.xml"/><Relationship Id="rId506" Type="http://schemas.openxmlformats.org/officeDocument/2006/relationships/ctrlProp" Target="../ctrlProps/ctrlProp503.xml"/><Relationship Id="rId38" Type="http://schemas.openxmlformats.org/officeDocument/2006/relationships/ctrlProp" Target="../ctrlProps/ctrlProp35.xml"/><Relationship Id="rId103" Type="http://schemas.openxmlformats.org/officeDocument/2006/relationships/ctrlProp" Target="../ctrlProps/ctrlProp100.xml"/><Relationship Id="rId310" Type="http://schemas.openxmlformats.org/officeDocument/2006/relationships/ctrlProp" Target="../ctrlProps/ctrlProp307.xml"/><Relationship Id="rId492" Type="http://schemas.openxmlformats.org/officeDocument/2006/relationships/ctrlProp" Target="../ctrlProps/ctrlProp489.xml"/><Relationship Id="rId548" Type="http://schemas.openxmlformats.org/officeDocument/2006/relationships/ctrlProp" Target="../ctrlProps/ctrlProp545.xml"/><Relationship Id="rId91" Type="http://schemas.openxmlformats.org/officeDocument/2006/relationships/ctrlProp" Target="../ctrlProps/ctrlProp88.xml"/><Relationship Id="rId145" Type="http://schemas.openxmlformats.org/officeDocument/2006/relationships/ctrlProp" Target="../ctrlProps/ctrlProp142.xml"/><Relationship Id="rId187" Type="http://schemas.openxmlformats.org/officeDocument/2006/relationships/ctrlProp" Target="../ctrlProps/ctrlProp184.xml"/><Relationship Id="rId352" Type="http://schemas.openxmlformats.org/officeDocument/2006/relationships/ctrlProp" Target="../ctrlProps/ctrlProp349.xml"/><Relationship Id="rId394" Type="http://schemas.openxmlformats.org/officeDocument/2006/relationships/ctrlProp" Target="../ctrlProps/ctrlProp391.xml"/><Relationship Id="rId408" Type="http://schemas.openxmlformats.org/officeDocument/2006/relationships/ctrlProp" Target="../ctrlProps/ctrlProp405.xml"/><Relationship Id="rId615" Type="http://schemas.openxmlformats.org/officeDocument/2006/relationships/ctrlProp" Target="../ctrlProps/ctrlProp612.xml"/><Relationship Id="rId212" Type="http://schemas.openxmlformats.org/officeDocument/2006/relationships/ctrlProp" Target="../ctrlProps/ctrlProp209.xml"/><Relationship Id="rId254" Type="http://schemas.openxmlformats.org/officeDocument/2006/relationships/ctrlProp" Target="../ctrlProps/ctrlProp251.xml"/><Relationship Id="rId657" Type="http://schemas.openxmlformats.org/officeDocument/2006/relationships/ctrlProp" Target="../ctrlProps/ctrlProp654.xml"/><Relationship Id="rId49" Type="http://schemas.openxmlformats.org/officeDocument/2006/relationships/ctrlProp" Target="../ctrlProps/ctrlProp46.xml"/><Relationship Id="rId114" Type="http://schemas.openxmlformats.org/officeDocument/2006/relationships/ctrlProp" Target="../ctrlProps/ctrlProp111.xml"/><Relationship Id="rId296" Type="http://schemas.openxmlformats.org/officeDocument/2006/relationships/ctrlProp" Target="../ctrlProps/ctrlProp293.xml"/><Relationship Id="rId461" Type="http://schemas.openxmlformats.org/officeDocument/2006/relationships/ctrlProp" Target="../ctrlProps/ctrlProp458.xml"/><Relationship Id="rId517" Type="http://schemas.openxmlformats.org/officeDocument/2006/relationships/ctrlProp" Target="../ctrlProps/ctrlProp514.xml"/><Relationship Id="rId559" Type="http://schemas.openxmlformats.org/officeDocument/2006/relationships/ctrlProp" Target="../ctrlProps/ctrlProp556.xml"/><Relationship Id="rId60" Type="http://schemas.openxmlformats.org/officeDocument/2006/relationships/ctrlProp" Target="../ctrlProps/ctrlProp57.xml"/><Relationship Id="rId156" Type="http://schemas.openxmlformats.org/officeDocument/2006/relationships/ctrlProp" Target="../ctrlProps/ctrlProp153.xml"/><Relationship Id="rId198" Type="http://schemas.openxmlformats.org/officeDocument/2006/relationships/ctrlProp" Target="../ctrlProps/ctrlProp195.xml"/><Relationship Id="rId321" Type="http://schemas.openxmlformats.org/officeDocument/2006/relationships/ctrlProp" Target="../ctrlProps/ctrlProp318.xml"/><Relationship Id="rId363" Type="http://schemas.openxmlformats.org/officeDocument/2006/relationships/ctrlProp" Target="../ctrlProps/ctrlProp360.xml"/><Relationship Id="rId419" Type="http://schemas.openxmlformats.org/officeDocument/2006/relationships/ctrlProp" Target="../ctrlProps/ctrlProp416.xml"/><Relationship Id="rId570" Type="http://schemas.openxmlformats.org/officeDocument/2006/relationships/ctrlProp" Target="../ctrlProps/ctrlProp567.xml"/><Relationship Id="rId626" Type="http://schemas.openxmlformats.org/officeDocument/2006/relationships/ctrlProp" Target="../ctrlProps/ctrlProp623.xml"/><Relationship Id="rId223" Type="http://schemas.openxmlformats.org/officeDocument/2006/relationships/ctrlProp" Target="../ctrlProps/ctrlProp220.xml"/><Relationship Id="rId430" Type="http://schemas.openxmlformats.org/officeDocument/2006/relationships/ctrlProp" Target="../ctrlProps/ctrlProp427.xml"/><Relationship Id="rId668" Type="http://schemas.openxmlformats.org/officeDocument/2006/relationships/ctrlProp" Target="../ctrlProps/ctrlProp665.xml"/><Relationship Id="rId18" Type="http://schemas.openxmlformats.org/officeDocument/2006/relationships/ctrlProp" Target="../ctrlProps/ctrlProp15.xml"/><Relationship Id="rId265" Type="http://schemas.openxmlformats.org/officeDocument/2006/relationships/ctrlProp" Target="../ctrlProps/ctrlProp262.xml"/><Relationship Id="rId472" Type="http://schemas.openxmlformats.org/officeDocument/2006/relationships/ctrlProp" Target="../ctrlProps/ctrlProp469.xml"/><Relationship Id="rId528" Type="http://schemas.openxmlformats.org/officeDocument/2006/relationships/ctrlProp" Target="../ctrlProps/ctrlProp525.xml"/><Relationship Id="rId125" Type="http://schemas.openxmlformats.org/officeDocument/2006/relationships/ctrlProp" Target="../ctrlProps/ctrlProp122.xml"/><Relationship Id="rId167" Type="http://schemas.openxmlformats.org/officeDocument/2006/relationships/ctrlProp" Target="../ctrlProps/ctrlProp164.xml"/><Relationship Id="rId332" Type="http://schemas.openxmlformats.org/officeDocument/2006/relationships/ctrlProp" Target="../ctrlProps/ctrlProp329.xml"/><Relationship Id="rId374" Type="http://schemas.openxmlformats.org/officeDocument/2006/relationships/ctrlProp" Target="../ctrlProps/ctrlProp371.xml"/><Relationship Id="rId581" Type="http://schemas.openxmlformats.org/officeDocument/2006/relationships/ctrlProp" Target="../ctrlProps/ctrlProp578.xml"/><Relationship Id="rId71" Type="http://schemas.openxmlformats.org/officeDocument/2006/relationships/ctrlProp" Target="../ctrlProps/ctrlProp68.xml"/><Relationship Id="rId234" Type="http://schemas.openxmlformats.org/officeDocument/2006/relationships/ctrlProp" Target="../ctrlProps/ctrlProp231.xml"/><Relationship Id="rId637" Type="http://schemas.openxmlformats.org/officeDocument/2006/relationships/ctrlProp" Target="../ctrlProps/ctrlProp634.xml"/><Relationship Id="rId2" Type="http://schemas.openxmlformats.org/officeDocument/2006/relationships/drawing" Target="../drawings/drawing1.xml"/><Relationship Id="rId29" Type="http://schemas.openxmlformats.org/officeDocument/2006/relationships/ctrlProp" Target="../ctrlProps/ctrlProp26.xml"/><Relationship Id="rId276" Type="http://schemas.openxmlformats.org/officeDocument/2006/relationships/ctrlProp" Target="../ctrlProps/ctrlProp273.xml"/><Relationship Id="rId441" Type="http://schemas.openxmlformats.org/officeDocument/2006/relationships/ctrlProp" Target="../ctrlProps/ctrlProp438.xml"/><Relationship Id="rId483" Type="http://schemas.openxmlformats.org/officeDocument/2006/relationships/ctrlProp" Target="../ctrlProps/ctrlProp480.xml"/><Relationship Id="rId539" Type="http://schemas.openxmlformats.org/officeDocument/2006/relationships/ctrlProp" Target="../ctrlProps/ctrlProp536.xml"/><Relationship Id="rId40" Type="http://schemas.openxmlformats.org/officeDocument/2006/relationships/ctrlProp" Target="../ctrlProps/ctrlProp37.xml"/><Relationship Id="rId136" Type="http://schemas.openxmlformats.org/officeDocument/2006/relationships/ctrlProp" Target="../ctrlProps/ctrlProp133.xml"/><Relationship Id="rId178" Type="http://schemas.openxmlformats.org/officeDocument/2006/relationships/ctrlProp" Target="../ctrlProps/ctrlProp175.xml"/><Relationship Id="rId301" Type="http://schemas.openxmlformats.org/officeDocument/2006/relationships/ctrlProp" Target="../ctrlProps/ctrlProp298.xml"/><Relationship Id="rId343" Type="http://schemas.openxmlformats.org/officeDocument/2006/relationships/ctrlProp" Target="../ctrlProps/ctrlProp340.xml"/><Relationship Id="rId550" Type="http://schemas.openxmlformats.org/officeDocument/2006/relationships/ctrlProp" Target="../ctrlProps/ctrlProp547.xml"/><Relationship Id="rId82" Type="http://schemas.openxmlformats.org/officeDocument/2006/relationships/ctrlProp" Target="../ctrlProps/ctrlProp79.xml"/><Relationship Id="rId203" Type="http://schemas.openxmlformats.org/officeDocument/2006/relationships/ctrlProp" Target="../ctrlProps/ctrlProp200.xml"/><Relationship Id="rId385" Type="http://schemas.openxmlformats.org/officeDocument/2006/relationships/ctrlProp" Target="../ctrlProps/ctrlProp382.xml"/><Relationship Id="rId592" Type="http://schemas.openxmlformats.org/officeDocument/2006/relationships/ctrlProp" Target="../ctrlProps/ctrlProp589.xml"/><Relationship Id="rId606" Type="http://schemas.openxmlformats.org/officeDocument/2006/relationships/ctrlProp" Target="../ctrlProps/ctrlProp603.xml"/><Relationship Id="rId648" Type="http://schemas.openxmlformats.org/officeDocument/2006/relationships/ctrlProp" Target="../ctrlProps/ctrlProp645.xml"/><Relationship Id="rId245" Type="http://schemas.openxmlformats.org/officeDocument/2006/relationships/ctrlProp" Target="../ctrlProps/ctrlProp242.xml"/><Relationship Id="rId287" Type="http://schemas.openxmlformats.org/officeDocument/2006/relationships/ctrlProp" Target="../ctrlProps/ctrlProp284.xml"/><Relationship Id="rId410" Type="http://schemas.openxmlformats.org/officeDocument/2006/relationships/ctrlProp" Target="../ctrlProps/ctrlProp407.xml"/><Relationship Id="rId452" Type="http://schemas.openxmlformats.org/officeDocument/2006/relationships/ctrlProp" Target="../ctrlProps/ctrlProp449.xml"/><Relationship Id="rId494" Type="http://schemas.openxmlformats.org/officeDocument/2006/relationships/ctrlProp" Target="../ctrlProps/ctrlProp491.xml"/><Relationship Id="rId508" Type="http://schemas.openxmlformats.org/officeDocument/2006/relationships/ctrlProp" Target="../ctrlProps/ctrlProp505.xml"/><Relationship Id="rId105" Type="http://schemas.openxmlformats.org/officeDocument/2006/relationships/ctrlProp" Target="../ctrlProps/ctrlProp102.xml"/><Relationship Id="rId147" Type="http://schemas.openxmlformats.org/officeDocument/2006/relationships/ctrlProp" Target="../ctrlProps/ctrlProp144.xml"/><Relationship Id="rId312" Type="http://schemas.openxmlformats.org/officeDocument/2006/relationships/ctrlProp" Target="../ctrlProps/ctrlProp309.xml"/><Relationship Id="rId354" Type="http://schemas.openxmlformats.org/officeDocument/2006/relationships/ctrlProp" Target="../ctrlProps/ctrlProp351.xml"/><Relationship Id="rId51" Type="http://schemas.openxmlformats.org/officeDocument/2006/relationships/ctrlProp" Target="../ctrlProps/ctrlProp48.xml"/><Relationship Id="rId93" Type="http://schemas.openxmlformats.org/officeDocument/2006/relationships/ctrlProp" Target="../ctrlProps/ctrlProp90.xml"/><Relationship Id="rId189" Type="http://schemas.openxmlformats.org/officeDocument/2006/relationships/ctrlProp" Target="../ctrlProps/ctrlProp186.xml"/><Relationship Id="rId396" Type="http://schemas.openxmlformats.org/officeDocument/2006/relationships/ctrlProp" Target="../ctrlProps/ctrlProp393.xml"/><Relationship Id="rId561" Type="http://schemas.openxmlformats.org/officeDocument/2006/relationships/ctrlProp" Target="../ctrlProps/ctrlProp558.xml"/><Relationship Id="rId617" Type="http://schemas.openxmlformats.org/officeDocument/2006/relationships/ctrlProp" Target="../ctrlProps/ctrlProp614.xml"/><Relationship Id="rId659" Type="http://schemas.openxmlformats.org/officeDocument/2006/relationships/ctrlProp" Target="../ctrlProps/ctrlProp656.xml"/><Relationship Id="rId214" Type="http://schemas.openxmlformats.org/officeDocument/2006/relationships/ctrlProp" Target="../ctrlProps/ctrlProp211.xml"/><Relationship Id="rId256" Type="http://schemas.openxmlformats.org/officeDocument/2006/relationships/ctrlProp" Target="../ctrlProps/ctrlProp253.xml"/><Relationship Id="rId298" Type="http://schemas.openxmlformats.org/officeDocument/2006/relationships/ctrlProp" Target="../ctrlProps/ctrlProp295.xml"/><Relationship Id="rId421" Type="http://schemas.openxmlformats.org/officeDocument/2006/relationships/ctrlProp" Target="../ctrlProps/ctrlProp418.xml"/><Relationship Id="rId463" Type="http://schemas.openxmlformats.org/officeDocument/2006/relationships/ctrlProp" Target="../ctrlProps/ctrlProp460.xml"/><Relationship Id="rId519" Type="http://schemas.openxmlformats.org/officeDocument/2006/relationships/ctrlProp" Target="../ctrlProps/ctrlProp516.xml"/><Relationship Id="rId670" Type="http://schemas.openxmlformats.org/officeDocument/2006/relationships/ctrlProp" Target="../ctrlProps/ctrlProp667.xml"/><Relationship Id="rId116" Type="http://schemas.openxmlformats.org/officeDocument/2006/relationships/ctrlProp" Target="../ctrlProps/ctrlProp113.xml"/><Relationship Id="rId158" Type="http://schemas.openxmlformats.org/officeDocument/2006/relationships/ctrlProp" Target="../ctrlProps/ctrlProp155.xml"/><Relationship Id="rId323" Type="http://schemas.openxmlformats.org/officeDocument/2006/relationships/ctrlProp" Target="../ctrlProps/ctrlProp320.xml"/><Relationship Id="rId530" Type="http://schemas.openxmlformats.org/officeDocument/2006/relationships/ctrlProp" Target="../ctrlProps/ctrlProp527.xml"/><Relationship Id="rId20" Type="http://schemas.openxmlformats.org/officeDocument/2006/relationships/ctrlProp" Target="../ctrlProps/ctrlProp17.xml"/><Relationship Id="rId62" Type="http://schemas.openxmlformats.org/officeDocument/2006/relationships/ctrlProp" Target="../ctrlProps/ctrlProp59.xml"/><Relationship Id="rId365" Type="http://schemas.openxmlformats.org/officeDocument/2006/relationships/ctrlProp" Target="../ctrlProps/ctrlProp362.xml"/><Relationship Id="rId572" Type="http://schemas.openxmlformats.org/officeDocument/2006/relationships/ctrlProp" Target="../ctrlProps/ctrlProp569.xml"/><Relationship Id="rId628" Type="http://schemas.openxmlformats.org/officeDocument/2006/relationships/ctrlProp" Target="../ctrlProps/ctrlProp625.xml"/><Relationship Id="rId225" Type="http://schemas.openxmlformats.org/officeDocument/2006/relationships/ctrlProp" Target="../ctrlProps/ctrlProp222.xml"/><Relationship Id="rId267" Type="http://schemas.openxmlformats.org/officeDocument/2006/relationships/ctrlProp" Target="../ctrlProps/ctrlProp264.xml"/><Relationship Id="rId432" Type="http://schemas.openxmlformats.org/officeDocument/2006/relationships/ctrlProp" Target="../ctrlProps/ctrlProp429.xml"/><Relationship Id="rId474" Type="http://schemas.openxmlformats.org/officeDocument/2006/relationships/ctrlProp" Target="../ctrlProps/ctrlProp471.xml"/><Relationship Id="rId127" Type="http://schemas.openxmlformats.org/officeDocument/2006/relationships/ctrlProp" Target="../ctrlProps/ctrlProp124.xml"/><Relationship Id="rId31" Type="http://schemas.openxmlformats.org/officeDocument/2006/relationships/ctrlProp" Target="../ctrlProps/ctrlProp28.xml"/><Relationship Id="rId73" Type="http://schemas.openxmlformats.org/officeDocument/2006/relationships/ctrlProp" Target="../ctrlProps/ctrlProp70.xml"/><Relationship Id="rId169" Type="http://schemas.openxmlformats.org/officeDocument/2006/relationships/ctrlProp" Target="../ctrlProps/ctrlProp166.xml"/><Relationship Id="rId334" Type="http://schemas.openxmlformats.org/officeDocument/2006/relationships/ctrlProp" Target="../ctrlProps/ctrlProp331.xml"/><Relationship Id="rId376" Type="http://schemas.openxmlformats.org/officeDocument/2006/relationships/ctrlProp" Target="../ctrlProps/ctrlProp373.xml"/><Relationship Id="rId541" Type="http://schemas.openxmlformats.org/officeDocument/2006/relationships/ctrlProp" Target="../ctrlProps/ctrlProp538.xml"/><Relationship Id="rId583" Type="http://schemas.openxmlformats.org/officeDocument/2006/relationships/ctrlProp" Target="../ctrlProps/ctrlProp580.xml"/><Relationship Id="rId639" Type="http://schemas.openxmlformats.org/officeDocument/2006/relationships/ctrlProp" Target="../ctrlProps/ctrlProp636.xml"/><Relationship Id="rId4" Type="http://schemas.openxmlformats.org/officeDocument/2006/relationships/ctrlProp" Target="../ctrlProps/ctrlProp1.xml"/><Relationship Id="rId180" Type="http://schemas.openxmlformats.org/officeDocument/2006/relationships/ctrlProp" Target="../ctrlProps/ctrlProp177.xml"/><Relationship Id="rId236" Type="http://schemas.openxmlformats.org/officeDocument/2006/relationships/ctrlProp" Target="../ctrlProps/ctrlProp233.xml"/><Relationship Id="rId278" Type="http://schemas.openxmlformats.org/officeDocument/2006/relationships/ctrlProp" Target="../ctrlProps/ctrlProp275.xml"/><Relationship Id="rId401" Type="http://schemas.openxmlformats.org/officeDocument/2006/relationships/ctrlProp" Target="../ctrlProps/ctrlProp398.xml"/><Relationship Id="rId443" Type="http://schemas.openxmlformats.org/officeDocument/2006/relationships/ctrlProp" Target="../ctrlProps/ctrlProp440.xml"/><Relationship Id="rId650" Type="http://schemas.openxmlformats.org/officeDocument/2006/relationships/ctrlProp" Target="../ctrlProps/ctrlProp647.xml"/><Relationship Id="rId303" Type="http://schemas.openxmlformats.org/officeDocument/2006/relationships/ctrlProp" Target="../ctrlProps/ctrlProp300.xml"/><Relationship Id="rId485" Type="http://schemas.openxmlformats.org/officeDocument/2006/relationships/ctrlProp" Target="../ctrlProps/ctrlProp482.xml"/><Relationship Id="rId42" Type="http://schemas.openxmlformats.org/officeDocument/2006/relationships/ctrlProp" Target="../ctrlProps/ctrlProp39.xml"/><Relationship Id="rId84" Type="http://schemas.openxmlformats.org/officeDocument/2006/relationships/ctrlProp" Target="../ctrlProps/ctrlProp81.xml"/><Relationship Id="rId138" Type="http://schemas.openxmlformats.org/officeDocument/2006/relationships/ctrlProp" Target="../ctrlProps/ctrlProp135.xml"/><Relationship Id="rId345" Type="http://schemas.openxmlformats.org/officeDocument/2006/relationships/ctrlProp" Target="../ctrlProps/ctrlProp342.xml"/><Relationship Id="rId387" Type="http://schemas.openxmlformats.org/officeDocument/2006/relationships/ctrlProp" Target="../ctrlProps/ctrlProp384.xml"/><Relationship Id="rId510" Type="http://schemas.openxmlformats.org/officeDocument/2006/relationships/ctrlProp" Target="../ctrlProps/ctrlProp507.xml"/><Relationship Id="rId552" Type="http://schemas.openxmlformats.org/officeDocument/2006/relationships/ctrlProp" Target="../ctrlProps/ctrlProp549.xml"/><Relationship Id="rId594" Type="http://schemas.openxmlformats.org/officeDocument/2006/relationships/ctrlProp" Target="../ctrlProps/ctrlProp591.xml"/><Relationship Id="rId608" Type="http://schemas.openxmlformats.org/officeDocument/2006/relationships/ctrlProp" Target="../ctrlProps/ctrlProp605.xml"/><Relationship Id="rId191" Type="http://schemas.openxmlformats.org/officeDocument/2006/relationships/ctrlProp" Target="../ctrlProps/ctrlProp188.xml"/><Relationship Id="rId205" Type="http://schemas.openxmlformats.org/officeDocument/2006/relationships/ctrlProp" Target="../ctrlProps/ctrlProp202.xml"/><Relationship Id="rId247" Type="http://schemas.openxmlformats.org/officeDocument/2006/relationships/ctrlProp" Target="../ctrlProps/ctrlProp244.xml"/><Relationship Id="rId412" Type="http://schemas.openxmlformats.org/officeDocument/2006/relationships/ctrlProp" Target="../ctrlProps/ctrlProp409.xml"/><Relationship Id="rId107" Type="http://schemas.openxmlformats.org/officeDocument/2006/relationships/ctrlProp" Target="../ctrlProps/ctrlProp104.xml"/><Relationship Id="rId289" Type="http://schemas.openxmlformats.org/officeDocument/2006/relationships/ctrlProp" Target="../ctrlProps/ctrlProp286.xml"/><Relationship Id="rId454" Type="http://schemas.openxmlformats.org/officeDocument/2006/relationships/ctrlProp" Target="../ctrlProps/ctrlProp451.xml"/><Relationship Id="rId496" Type="http://schemas.openxmlformats.org/officeDocument/2006/relationships/ctrlProp" Target="../ctrlProps/ctrlProp493.xml"/><Relationship Id="rId661" Type="http://schemas.openxmlformats.org/officeDocument/2006/relationships/ctrlProp" Target="../ctrlProps/ctrlProp658.xml"/><Relationship Id="rId11" Type="http://schemas.openxmlformats.org/officeDocument/2006/relationships/ctrlProp" Target="../ctrlProps/ctrlProp8.xml"/><Relationship Id="rId53" Type="http://schemas.openxmlformats.org/officeDocument/2006/relationships/ctrlProp" Target="../ctrlProps/ctrlProp50.xml"/><Relationship Id="rId149" Type="http://schemas.openxmlformats.org/officeDocument/2006/relationships/ctrlProp" Target="../ctrlProps/ctrlProp146.xml"/><Relationship Id="rId314" Type="http://schemas.openxmlformats.org/officeDocument/2006/relationships/ctrlProp" Target="../ctrlProps/ctrlProp311.xml"/><Relationship Id="rId356" Type="http://schemas.openxmlformats.org/officeDocument/2006/relationships/ctrlProp" Target="../ctrlProps/ctrlProp353.xml"/><Relationship Id="rId398" Type="http://schemas.openxmlformats.org/officeDocument/2006/relationships/ctrlProp" Target="../ctrlProps/ctrlProp395.xml"/><Relationship Id="rId521" Type="http://schemas.openxmlformats.org/officeDocument/2006/relationships/ctrlProp" Target="../ctrlProps/ctrlProp518.xml"/><Relationship Id="rId563" Type="http://schemas.openxmlformats.org/officeDocument/2006/relationships/ctrlProp" Target="../ctrlProps/ctrlProp560.xml"/><Relationship Id="rId619" Type="http://schemas.openxmlformats.org/officeDocument/2006/relationships/ctrlProp" Target="../ctrlProps/ctrlProp616.xml"/><Relationship Id="rId95" Type="http://schemas.openxmlformats.org/officeDocument/2006/relationships/ctrlProp" Target="../ctrlProps/ctrlProp92.xml"/><Relationship Id="rId160" Type="http://schemas.openxmlformats.org/officeDocument/2006/relationships/ctrlProp" Target="../ctrlProps/ctrlProp157.xml"/><Relationship Id="rId216" Type="http://schemas.openxmlformats.org/officeDocument/2006/relationships/ctrlProp" Target="../ctrlProps/ctrlProp213.xml"/><Relationship Id="rId423" Type="http://schemas.openxmlformats.org/officeDocument/2006/relationships/ctrlProp" Target="../ctrlProps/ctrlProp420.xml"/><Relationship Id="rId258" Type="http://schemas.openxmlformats.org/officeDocument/2006/relationships/ctrlProp" Target="../ctrlProps/ctrlProp255.xml"/><Relationship Id="rId465" Type="http://schemas.openxmlformats.org/officeDocument/2006/relationships/ctrlProp" Target="../ctrlProps/ctrlProp462.xml"/><Relationship Id="rId630" Type="http://schemas.openxmlformats.org/officeDocument/2006/relationships/ctrlProp" Target="../ctrlProps/ctrlProp627.xml"/><Relationship Id="rId672" Type="http://schemas.openxmlformats.org/officeDocument/2006/relationships/ctrlProp" Target="../ctrlProps/ctrlProp669.xml"/><Relationship Id="rId22" Type="http://schemas.openxmlformats.org/officeDocument/2006/relationships/ctrlProp" Target="../ctrlProps/ctrlProp19.xml"/><Relationship Id="rId64" Type="http://schemas.openxmlformats.org/officeDocument/2006/relationships/ctrlProp" Target="../ctrlProps/ctrlProp61.xml"/><Relationship Id="rId118" Type="http://schemas.openxmlformats.org/officeDocument/2006/relationships/ctrlProp" Target="../ctrlProps/ctrlProp115.xml"/><Relationship Id="rId325" Type="http://schemas.openxmlformats.org/officeDocument/2006/relationships/ctrlProp" Target="../ctrlProps/ctrlProp322.xml"/><Relationship Id="rId367" Type="http://schemas.openxmlformats.org/officeDocument/2006/relationships/ctrlProp" Target="../ctrlProps/ctrlProp364.xml"/><Relationship Id="rId532" Type="http://schemas.openxmlformats.org/officeDocument/2006/relationships/ctrlProp" Target="../ctrlProps/ctrlProp529.xml"/><Relationship Id="rId574" Type="http://schemas.openxmlformats.org/officeDocument/2006/relationships/ctrlProp" Target="../ctrlProps/ctrlProp571.xml"/><Relationship Id="rId171" Type="http://schemas.openxmlformats.org/officeDocument/2006/relationships/ctrlProp" Target="../ctrlProps/ctrlProp168.xml"/><Relationship Id="rId227" Type="http://schemas.openxmlformats.org/officeDocument/2006/relationships/ctrlProp" Target="../ctrlProps/ctrlProp224.xml"/><Relationship Id="rId269" Type="http://schemas.openxmlformats.org/officeDocument/2006/relationships/ctrlProp" Target="../ctrlProps/ctrlProp266.xml"/><Relationship Id="rId434" Type="http://schemas.openxmlformats.org/officeDocument/2006/relationships/ctrlProp" Target="../ctrlProps/ctrlProp431.xml"/><Relationship Id="rId476" Type="http://schemas.openxmlformats.org/officeDocument/2006/relationships/ctrlProp" Target="../ctrlProps/ctrlProp473.xml"/><Relationship Id="rId641" Type="http://schemas.openxmlformats.org/officeDocument/2006/relationships/ctrlProp" Target="../ctrlProps/ctrlProp638.xml"/><Relationship Id="rId33" Type="http://schemas.openxmlformats.org/officeDocument/2006/relationships/ctrlProp" Target="../ctrlProps/ctrlProp30.xml"/><Relationship Id="rId129" Type="http://schemas.openxmlformats.org/officeDocument/2006/relationships/ctrlProp" Target="../ctrlProps/ctrlProp126.xml"/><Relationship Id="rId280" Type="http://schemas.openxmlformats.org/officeDocument/2006/relationships/ctrlProp" Target="../ctrlProps/ctrlProp277.xml"/><Relationship Id="rId336" Type="http://schemas.openxmlformats.org/officeDocument/2006/relationships/ctrlProp" Target="../ctrlProps/ctrlProp333.xml"/><Relationship Id="rId501" Type="http://schemas.openxmlformats.org/officeDocument/2006/relationships/ctrlProp" Target="../ctrlProps/ctrlProp498.xml"/><Relationship Id="rId543" Type="http://schemas.openxmlformats.org/officeDocument/2006/relationships/ctrlProp" Target="../ctrlProps/ctrlProp540.xml"/><Relationship Id="rId75" Type="http://schemas.openxmlformats.org/officeDocument/2006/relationships/ctrlProp" Target="../ctrlProps/ctrlProp72.xml"/><Relationship Id="rId140" Type="http://schemas.openxmlformats.org/officeDocument/2006/relationships/ctrlProp" Target="../ctrlProps/ctrlProp137.xml"/><Relationship Id="rId182" Type="http://schemas.openxmlformats.org/officeDocument/2006/relationships/ctrlProp" Target="../ctrlProps/ctrlProp179.xml"/><Relationship Id="rId378" Type="http://schemas.openxmlformats.org/officeDocument/2006/relationships/ctrlProp" Target="../ctrlProps/ctrlProp375.xml"/><Relationship Id="rId403" Type="http://schemas.openxmlformats.org/officeDocument/2006/relationships/ctrlProp" Target="../ctrlProps/ctrlProp400.xml"/><Relationship Id="rId585" Type="http://schemas.openxmlformats.org/officeDocument/2006/relationships/ctrlProp" Target="../ctrlProps/ctrlProp582.xml"/><Relationship Id="rId6" Type="http://schemas.openxmlformats.org/officeDocument/2006/relationships/ctrlProp" Target="../ctrlProps/ctrlProp3.xml"/><Relationship Id="rId238" Type="http://schemas.openxmlformats.org/officeDocument/2006/relationships/ctrlProp" Target="../ctrlProps/ctrlProp235.xml"/><Relationship Id="rId445" Type="http://schemas.openxmlformats.org/officeDocument/2006/relationships/ctrlProp" Target="../ctrlProps/ctrlProp442.xml"/><Relationship Id="rId487" Type="http://schemas.openxmlformats.org/officeDocument/2006/relationships/ctrlProp" Target="../ctrlProps/ctrlProp484.xml"/><Relationship Id="rId610" Type="http://schemas.openxmlformats.org/officeDocument/2006/relationships/ctrlProp" Target="../ctrlProps/ctrlProp607.xml"/><Relationship Id="rId652" Type="http://schemas.openxmlformats.org/officeDocument/2006/relationships/ctrlProp" Target="../ctrlProps/ctrlProp649.xml"/><Relationship Id="rId291" Type="http://schemas.openxmlformats.org/officeDocument/2006/relationships/ctrlProp" Target="../ctrlProps/ctrlProp288.xml"/><Relationship Id="rId305" Type="http://schemas.openxmlformats.org/officeDocument/2006/relationships/ctrlProp" Target="../ctrlProps/ctrlProp302.xml"/><Relationship Id="rId347" Type="http://schemas.openxmlformats.org/officeDocument/2006/relationships/ctrlProp" Target="../ctrlProps/ctrlProp344.xml"/><Relationship Id="rId512" Type="http://schemas.openxmlformats.org/officeDocument/2006/relationships/ctrlProp" Target="../ctrlProps/ctrlProp509.xml"/><Relationship Id="rId44" Type="http://schemas.openxmlformats.org/officeDocument/2006/relationships/ctrlProp" Target="../ctrlProps/ctrlProp41.xml"/><Relationship Id="rId86" Type="http://schemas.openxmlformats.org/officeDocument/2006/relationships/ctrlProp" Target="../ctrlProps/ctrlProp83.xml"/><Relationship Id="rId151" Type="http://schemas.openxmlformats.org/officeDocument/2006/relationships/ctrlProp" Target="../ctrlProps/ctrlProp148.xml"/><Relationship Id="rId389" Type="http://schemas.openxmlformats.org/officeDocument/2006/relationships/ctrlProp" Target="../ctrlProps/ctrlProp386.xml"/><Relationship Id="rId554" Type="http://schemas.openxmlformats.org/officeDocument/2006/relationships/ctrlProp" Target="../ctrlProps/ctrlProp551.xml"/><Relationship Id="rId596" Type="http://schemas.openxmlformats.org/officeDocument/2006/relationships/ctrlProp" Target="../ctrlProps/ctrlProp593.xml"/><Relationship Id="rId193" Type="http://schemas.openxmlformats.org/officeDocument/2006/relationships/ctrlProp" Target="../ctrlProps/ctrlProp190.xml"/><Relationship Id="rId207" Type="http://schemas.openxmlformats.org/officeDocument/2006/relationships/ctrlProp" Target="../ctrlProps/ctrlProp204.xml"/><Relationship Id="rId249" Type="http://schemas.openxmlformats.org/officeDocument/2006/relationships/ctrlProp" Target="../ctrlProps/ctrlProp246.xml"/><Relationship Id="rId414" Type="http://schemas.openxmlformats.org/officeDocument/2006/relationships/ctrlProp" Target="../ctrlProps/ctrlProp411.xml"/><Relationship Id="rId456" Type="http://schemas.openxmlformats.org/officeDocument/2006/relationships/ctrlProp" Target="../ctrlProps/ctrlProp453.xml"/><Relationship Id="rId498" Type="http://schemas.openxmlformats.org/officeDocument/2006/relationships/ctrlProp" Target="../ctrlProps/ctrlProp495.xml"/><Relationship Id="rId621" Type="http://schemas.openxmlformats.org/officeDocument/2006/relationships/ctrlProp" Target="../ctrlProps/ctrlProp618.xml"/><Relationship Id="rId663" Type="http://schemas.openxmlformats.org/officeDocument/2006/relationships/ctrlProp" Target="../ctrlProps/ctrlProp660.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316" Type="http://schemas.openxmlformats.org/officeDocument/2006/relationships/ctrlProp" Target="../ctrlProps/ctrlProp313.xml"/><Relationship Id="rId523" Type="http://schemas.openxmlformats.org/officeDocument/2006/relationships/ctrlProp" Target="../ctrlProps/ctrlProp520.xml"/><Relationship Id="rId55" Type="http://schemas.openxmlformats.org/officeDocument/2006/relationships/ctrlProp" Target="../ctrlProps/ctrlProp52.xml"/><Relationship Id="rId97" Type="http://schemas.openxmlformats.org/officeDocument/2006/relationships/ctrlProp" Target="../ctrlProps/ctrlProp94.xml"/><Relationship Id="rId120" Type="http://schemas.openxmlformats.org/officeDocument/2006/relationships/ctrlProp" Target="../ctrlProps/ctrlProp117.xml"/><Relationship Id="rId358" Type="http://schemas.openxmlformats.org/officeDocument/2006/relationships/ctrlProp" Target="../ctrlProps/ctrlProp355.xml"/><Relationship Id="rId565" Type="http://schemas.openxmlformats.org/officeDocument/2006/relationships/ctrlProp" Target="../ctrlProps/ctrlProp562.xml"/><Relationship Id="rId162" Type="http://schemas.openxmlformats.org/officeDocument/2006/relationships/ctrlProp" Target="../ctrlProps/ctrlProp159.xml"/><Relationship Id="rId218" Type="http://schemas.openxmlformats.org/officeDocument/2006/relationships/ctrlProp" Target="../ctrlProps/ctrlProp215.xml"/><Relationship Id="rId425" Type="http://schemas.openxmlformats.org/officeDocument/2006/relationships/ctrlProp" Target="../ctrlProps/ctrlProp422.xml"/><Relationship Id="rId467" Type="http://schemas.openxmlformats.org/officeDocument/2006/relationships/ctrlProp" Target="../ctrlProps/ctrlProp464.xml"/><Relationship Id="rId632" Type="http://schemas.openxmlformats.org/officeDocument/2006/relationships/ctrlProp" Target="../ctrlProps/ctrlProp629.xml"/><Relationship Id="rId271" Type="http://schemas.openxmlformats.org/officeDocument/2006/relationships/ctrlProp" Target="../ctrlProps/ctrlProp268.xml"/><Relationship Id="rId674" Type="http://schemas.openxmlformats.org/officeDocument/2006/relationships/ctrlProp" Target="../ctrlProps/ctrlProp671.xml"/><Relationship Id="rId24" Type="http://schemas.openxmlformats.org/officeDocument/2006/relationships/ctrlProp" Target="../ctrlProps/ctrlProp21.xml"/><Relationship Id="rId66" Type="http://schemas.openxmlformats.org/officeDocument/2006/relationships/ctrlProp" Target="../ctrlProps/ctrlProp63.xml"/><Relationship Id="rId131" Type="http://schemas.openxmlformats.org/officeDocument/2006/relationships/ctrlProp" Target="../ctrlProps/ctrlProp128.xml"/><Relationship Id="rId327" Type="http://schemas.openxmlformats.org/officeDocument/2006/relationships/ctrlProp" Target="../ctrlProps/ctrlProp324.xml"/><Relationship Id="rId369" Type="http://schemas.openxmlformats.org/officeDocument/2006/relationships/ctrlProp" Target="../ctrlProps/ctrlProp366.xml"/><Relationship Id="rId534" Type="http://schemas.openxmlformats.org/officeDocument/2006/relationships/ctrlProp" Target="../ctrlProps/ctrlProp531.xml"/><Relationship Id="rId576" Type="http://schemas.openxmlformats.org/officeDocument/2006/relationships/ctrlProp" Target="../ctrlProps/ctrlProp573.xml"/><Relationship Id="rId173" Type="http://schemas.openxmlformats.org/officeDocument/2006/relationships/ctrlProp" Target="../ctrlProps/ctrlProp170.xml"/><Relationship Id="rId229" Type="http://schemas.openxmlformats.org/officeDocument/2006/relationships/ctrlProp" Target="../ctrlProps/ctrlProp226.xml"/><Relationship Id="rId380" Type="http://schemas.openxmlformats.org/officeDocument/2006/relationships/ctrlProp" Target="../ctrlProps/ctrlProp377.xml"/><Relationship Id="rId436" Type="http://schemas.openxmlformats.org/officeDocument/2006/relationships/ctrlProp" Target="../ctrlProps/ctrlProp433.xml"/><Relationship Id="rId601" Type="http://schemas.openxmlformats.org/officeDocument/2006/relationships/ctrlProp" Target="../ctrlProps/ctrlProp598.xml"/><Relationship Id="rId643" Type="http://schemas.openxmlformats.org/officeDocument/2006/relationships/ctrlProp" Target="../ctrlProps/ctrlProp640.xml"/><Relationship Id="rId240" Type="http://schemas.openxmlformats.org/officeDocument/2006/relationships/ctrlProp" Target="../ctrlProps/ctrlProp237.xml"/><Relationship Id="rId478" Type="http://schemas.openxmlformats.org/officeDocument/2006/relationships/ctrlProp" Target="../ctrlProps/ctrlProp475.xml"/><Relationship Id="rId35" Type="http://schemas.openxmlformats.org/officeDocument/2006/relationships/ctrlProp" Target="../ctrlProps/ctrlProp32.xml"/><Relationship Id="rId77" Type="http://schemas.openxmlformats.org/officeDocument/2006/relationships/ctrlProp" Target="../ctrlProps/ctrlProp74.xml"/><Relationship Id="rId100" Type="http://schemas.openxmlformats.org/officeDocument/2006/relationships/ctrlProp" Target="../ctrlProps/ctrlProp97.xml"/><Relationship Id="rId282" Type="http://schemas.openxmlformats.org/officeDocument/2006/relationships/ctrlProp" Target="../ctrlProps/ctrlProp279.xml"/><Relationship Id="rId338" Type="http://schemas.openxmlformats.org/officeDocument/2006/relationships/ctrlProp" Target="../ctrlProps/ctrlProp335.xml"/><Relationship Id="rId503" Type="http://schemas.openxmlformats.org/officeDocument/2006/relationships/ctrlProp" Target="../ctrlProps/ctrlProp500.xml"/><Relationship Id="rId545" Type="http://schemas.openxmlformats.org/officeDocument/2006/relationships/ctrlProp" Target="../ctrlProps/ctrlProp542.xml"/><Relationship Id="rId587" Type="http://schemas.openxmlformats.org/officeDocument/2006/relationships/ctrlProp" Target="../ctrlProps/ctrlProp584.xml"/><Relationship Id="rId8" Type="http://schemas.openxmlformats.org/officeDocument/2006/relationships/ctrlProp" Target="../ctrlProps/ctrlProp5.xml"/><Relationship Id="rId142" Type="http://schemas.openxmlformats.org/officeDocument/2006/relationships/ctrlProp" Target="../ctrlProps/ctrlProp139.xml"/><Relationship Id="rId184" Type="http://schemas.openxmlformats.org/officeDocument/2006/relationships/ctrlProp" Target="../ctrlProps/ctrlProp181.xml"/><Relationship Id="rId391" Type="http://schemas.openxmlformats.org/officeDocument/2006/relationships/ctrlProp" Target="../ctrlProps/ctrlProp388.xml"/><Relationship Id="rId405" Type="http://schemas.openxmlformats.org/officeDocument/2006/relationships/ctrlProp" Target="../ctrlProps/ctrlProp402.xml"/><Relationship Id="rId447" Type="http://schemas.openxmlformats.org/officeDocument/2006/relationships/ctrlProp" Target="../ctrlProps/ctrlProp444.xml"/><Relationship Id="rId612" Type="http://schemas.openxmlformats.org/officeDocument/2006/relationships/ctrlProp" Target="../ctrlProps/ctrlProp609.xml"/><Relationship Id="rId251" Type="http://schemas.openxmlformats.org/officeDocument/2006/relationships/ctrlProp" Target="../ctrlProps/ctrlProp248.xml"/><Relationship Id="rId489" Type="http://schemas.openxmlformats.org/officeDocument/2006/relationships/ctrlProp" Target="../ctrlProps/ctrlProp486.xml"/><Relationship Id="rId654" Type="http://schemas.openxmlformats.org/officeDocument/2006/relationships/ctrlProp" Target="../ctrlProps/ctrlProp651.xml"/><Relationship Id="rId46" Type="http://schemas.openxmlformats.org/officeDocument/2006/relationships/ctrlProp" Target="../ctrlProps/ctrlProp43.xml"/><Relationship Id="rId293" Type="http://schemas.openxmlformats.org/officeDocument/2006/relationships/ctrlProp" Target="../ctrlProps/ctrlProp290.xml"/><Relationship Id="rId307" Type="http://schemas.openxmlformats.org/officeDocument/2006/relationships/ctrlProp" Target="../ctrlProps/ctrlProp304.xml"/><Relationship Id="rId349" Type="http://schemas.openxmlformats.org/officeDocument/2006/relationships/ctrlProp" Target="../ctrlProps/ctrlProp346.xml"/><Relationship Id="rId514" Type="http://schemas.openxmlformats.org/officeDocument/2006/relationships/ctrlProp" Target="../ctrlProps/ctrlProp511.xml"/><Relationship Id="rId556" Type="http://schemas.openxmlformats.org/officeDocument/2006/relationships/ctrlProp" Target="../ctrlProps/ctrlProp553.xml"/><Relationship Id="rId88" Type="http://schemas.openxmlformats.org/officeDocument/2006/relationships/ctrlProp" Target="../ctrlProps/ctrlProp85.xml"/><Relationship Id="rId111" Type="http://schemas.openxmlformats.org/officeDocument/2006/relationships/ctrlProp" Target="../ctrlProps/ctrlProp108.xml"/><Relationship Id="rId153" Type="http://schemas.openxmlformats.org/officeDocument/2006/relationships/ctrlProp" Target="../ctrlProps/ctrlProp150.xml"/><Relationship Id="rId195" Type="http://schemas.openxmlformats.org/officeDocument/2006/relationships/ctrlProp" Target="../ctrlProps/ctrlProp192.xml"/><Relationship Id="rId209" Type="http://schemas.openxmlformats.org/officeDocument/2006/relationships/ctrlProp" Target="../ctrlProps/ctrlProp206.xml"/><Relationship Id="rId360" Type="http://schemas.openxmlformats.org/officeDocument/2006/relationships/ctrlProp" Target="../ctrlProps/ctrlProp357.xml"/><Relationship Id="rId416" Type="http://schemas.openxmlformats.org/officeDocument/2006/relationships/ctrlProp" Target="../ctrlProps/ctrlProp413.xml"/><Relationship Id="rId598" Type="http://schemas.openxmlformats.org/officeDocument/2006/relationships/ctrlProp" Target="../ctrlProps/ctrlProp595.xml"/><Relationship Id="rId220" Type="http://schemas.openxmlformats.org/officeDocument/2006/relationships/ctrlProp" Target="../ctrlProps/ctrlProp217.xml"/><Relationship Id="rId458" Type="http://schemas.openxmlformats.org/officeDocument/2006/relationships/ctrlProp" Target="../ctrlProps/ctrlProp455.xml"/><Relationship Id="rId623" Type="http://schemas.openxmlformats.org/officeDocument/2006/relationships/ctrlProp" Target="../ctrlProps/ctrlProp620.xml"/><Relationship Id="rId665" Type="http://schemas.openxmlformats.org/officeDocument/2006/relationships/ctrlProp" Target="../ctrlProps/ctrlProp662.xml"/><Relationship Id="rId15" Type="http://schemas.openxmlformats.org/officeDocument/2006/relationships/ctrlProp" Target="../ctrlProps/ctrlProp12.xml"/><Relationship Id="rId57" Type="http://schemas.openxmlformats.org/officeDocument/2006/relationships/ctrlProp" Target="../ctrlProps/ctrlProp54.xml"/><Relationship Id="rId262" Type="http://schemas.openxmlformats.org/officeDocument/2006/relationships/ctrlProp" Target="../ctrlProps/ctrlProp259.xml"/><Relationship Id="rId318" Type="http://schemas.openxmlformats.org/officeDocument/2006/relationships/ctrlProp" Target="../ctrlProps/ctrlProp315.xml"/><Relationship Id="rId525" Type="http://schemas.openxmlformats.org/officeDocument/2006/relationships/ctrlProp" Target="../ctrlProps/ctrlProp522.xml"/><Relationship Id="rId567" Type="http://schemas.openxmlformats.org/officeDocument/2006/relationships/ctrlProp" Target="../ctrlProps/ctrlProp564.xml"/><Relationship Id="rId99" Type="http://schemas.openxmlformats.org/officeDocument/2006/relationships/ctrlProp" Target="../ctrlProps/ctrlProp96.xml"/><Relationship Id="rId122" Type="http://schemas.openxmlformats.org/officeDocument/2006/relationships/ctrlProp" Target="../ctrlProps/ctrlProp119.xml"/><Relationship Id="rId164" Type="http://schemas.openxmlformats.org/officeDocument/2006/relationships/ctrlProp" Target="../ctrlProps/ctrlProp161.xml"/><Relationship Id="rId371" Type="http://schemas.openxmlformats.org/officeDocument/2006/relationships/ctrlProp" Target="../ctrlProps/ctrlProp368.xml"/><Relationship Id="rId427" Type="http://schemas.openxmlformats.org/officeDocument/2006/relationships/ctrlProp" Target="../ctrlProps/ctrlProp424.xml"/><Relationship Id="rId469" Type="http://schemas.openxmlformats.org/officeDocument/2006/relationships/ctrlProp" Target="../ctrlProps/ctrlProp466.xml"/><Relationship Id="rId634" Type="http://schemas.openxmlformats.org/officeDocument/2006/relationships/ctrlProp" Target="../ctrlProps/ctrlProp631.xml"/><Relationship Id="rId676" Type="http://schemas.openxmlformats.org/officeDocument/2006/relationships/ctrlProp" Target="../ctrlProps/ctrlProp673.xml"/><Relationship Id="rId26" Type="http://schemas.openxmlformats.org/officeDocument/2006/relationships/ctrlProp" Target="../ctrlProps/ctrlProp23.xml"/><Relationship Id="rId231" Type="http://schemas.openxmlformats.org/officeDocument/2006/relationships/ctrlProp" Target="../ctrlProps/ctrlProp228.xml"/><Relationship Id="rId273" Type="http://schemas.openxmlformats.org/officeDocument/2006/relationships/ctrlProp" Target="../ctrlProps/ctrlProp270.xml"/><Relationship Id="rId329" Type="http://schemas.openxmlformats.org/officeDocument/2006/relationships/ctrlProp" Target="../ctrlProps/ctrlProp326.xml"/><Relationship Id="rId480" Type="http://schemas.openxmlformats.org/officeDocument/2006/relationships/ctrlProp" Target="../ctrlProps/ctrlProp477.xml"/><Relationship Id="rId536" Type="http://schemas.openxmlformats.org/officeDocument/2006/relationships/ctrlProp" Target="../ctrlProps/ctrlProp533.xml"/><Relationship Id="rId68" Type="http://schemas.openxmlformats.org/officeDocument/2006/relationships/ctrlProp" Target="../ctrlProps/ctrlProp65.xml"/><Relationship Id="rId133" Type="http://schemas.openxmlformats.org/officeDocument/2006/relationships/ctrlProp" Target="../ctrlProps/ctrlProp130.xml"/><Relationship Id="rId175" Type="http://schemas.openxmlformats.org/officeDocument/2006/relationships/ctrlProp" Target="../ctrlProps/ctrlProp172.xml"/><Relationship Id="rId340" Type="http://schemas.openxmlformats.org/officeDocument/2006/relationships/ctrlProp" Target="../ctrlProps/ctrlProp337.xml"/><Relationship Id="rId578" Type="http://schemas.openxmlformats.org/officeDocument/2006/relationships/ctrlProp" Target="../ctrlProps/ctrlProp575.xml"/><Relationship Id="rId200" Type="http://schemas.openxmlformats.org/officeDocument/2006/relationships/ctrlProp" Target="../ctrlProps/ctrlProp197.xml"/><Relationship Id="rId382" Type="http://schemas.openxmlformats.org/officeDocument/2006/relationships/ctrlProp" Target="../ctrlProps/ctrlProp379.xml"/><Relationship Id="rId438" Type="http://schemas.openxmlformats.org/officeDocument/2006/relationships/ctrlProp" Target="../ctrlProps/ctrlProp435.xml"/><Relationship Id="rId603" Type="http://schemas.openxmlformats.org/officeDocument/2006/relationships/ctrlProp" Target="../ctrlProps/ctrlProp600.xml"/><Relationship Id="rId645" Type="http://schemas.openxmlformats.org/officeDocument/2006/relationships/ctrlProp" Target="../ctrlProps/ctrlProp642.xml"/><Relationship Id="rId242" Type="http://schemas.openxmlformats.org/officeDocument/2006/relationships/ctrlProp" Target="../ctrlProps/ctrlProp239.xml"/><Relationship Id="rId284" Type="http://schemas.openxmlformats.org/officeDocument/2006/relationships/ctrlProp" Target="../ctrlProps/ctrlProp281.xml"/><Relationship Id="rId491" Type="http://schemas.openxmlformats.org/officeDocument/2006/relationships/ctrlProp" Target="../ctrlProps/ctrlProp488.xml"/><Relationship Id="rId505" Type="http://schemas.openxmlformats.org/officeDocument/2006/relationships/ctrlProp" Target="../ctrlProps/ctrlProp502.xml"/><Relationship Id="rId37" Type="http://schemas.openxmlformats.org/officeDocument/2006/relationships/ctrlProp" Target="../ctrlProps/ctrlProp34.xml"/><Relationship Id="rId79" Type="http://schemas.openxmlformats.org/officeDocument/2006/relationships/ctrlProp" Target="../ctrlProps/ctrlProp76.xml"/><Relationship Id="rId102" Type="http://schemas.openxmlformats.org/officeDocument/2006/relationships/ctrlProp" Target="../ctrlProps/ctrlProp99.xml"/><Relationship Id="rId144" Type="http://schemas.openxmlformats.org/officeDocument/2006/relationships/ctrlProp" Target="../ctrlProps/ctrlProp141.xml"/><Relationship Id="rId547" Type="http://schemas.openxmlformats.org/officeDocument/2006/relationships/ctrlProp" Target="../ctrlProps/ctrlProp544.xml"/><Relationship Id="rId589" Type="http://schemas.openxmlformats.org/officeDocument/2006/relationships/ctrlProp" Target="../ctrlProps/ctrlProp586.xml"/><Relationship Id="rId90" Type="http://schemas.openxmlformats.org/officeDocument/2006/relationships/ctrlProp" Target="../ctrlProps/ctrlProp87.xml"/><Relationship Id="rId186" Type="http://schemas.openxmlformats.org/officeDocument/2006/relationships/ctrlProp" Target="../ctrlProps/ctrlProp183.xml"/><Relationship Id="rId351" Type="http://schemas.openxmlformats.org/officeDocument/2006/relationships/ctrlProp" Target="../ctrlProps/ctrlProp348.xml"/><Relationship Id="rId393" Type="http://schemas.openxmlformats.org/officeDocument/2006/relationships/ctrlProp" Target="../ctrlProps/ctrlProp390.xml"/><Relationship Id="rId407" Type="http://schemas.openxmlformats.org/officeDocument/2006/relationships/ctrlProp" Target="../ctrlProps/ctrlProp404.xml"/><Relationship Id="rId449" Type="http://schemas.openxmlformats.org/officeDocument/2006/relationships/ctrlProp" Target="../ctrlProps/ctrlProp446.xml"/><Relationship Id="rId614" Type="http://schemas.openxmlformats.org/officeDocument/2006/relationships/ctrlProp" Target="../ctrlProps/ctrlProp611.xml"/><Relationship Id="rId656" Type="http://schemas.openxmlformats.org/officeDocument/2006/relationships/ctrlProp" Target="../ctrlProps/ctrlProp653.xml"/><Relationship Id="rId211" Type="http://schemas.openxmlformats.org/officeDocument/2006/relationships/ctrlProp" Target="../ctrlProps/ctrlProp208.xml"/><Relationship Id="rId253" Type="http://schemas.openxmlformats.org/officeDocument/2006/relationships/ctrlProp" Target="../ctrlProps/ctrlProp250.xml"/><Relationship Id="rId295" Type="http://schemas.openxmlformats.org/officeDocument/2006/relationships/ctrlProp" Target="../ctrlProps/ctrlProp292.xml"/><Relationship Id="rId309" Type="http://schemas.openxmlformats.org/officeDocument/2006/relationships/ctrlProp" Target="../ctrlProps/ctrlProp306.xml"/><Relationship Id="rId460" Type="http://schemas.openxmlformats.org/officeDocument/2006/relationships/ctrlProp" Target="../ctrlProps/ctrlProp457.xml"/><Relationship Id="rId516" Type="http://schemas.openxmlformats.org/officeDocument/2006/relationships/ctrlProp" Target="../ctrlProps/ctrlProp513.xml"/><Relationship Id="rId48" Type="http://schemas.openxmlformats.org/officeDocument/2006/relationships/ctrlProp" Target="../ctrlProps/ctrlProp45.xml"/><Relationship Id="rId113" Type="http://schemas.openxmlformats.org/officeDocument/2006/relationships/ctrlProp" Target="../ctrlProps/ctrlProp110.xml"/><Relationship Id="rId320" Type="http://schemas.openxmlformats.org/officeDocument/2006/relationships/ctrlProp" Target="../ctrlProps/ctrlProp317.xml"/><Relationship Id="rId558" Type="http://schemas.openxmlformats.org/officeDocument/2006/relationships/ctrlProp" Target="../ctrlProps/ctrlProp555.xml"/><Relationship Id="rId155" Type="http://schemas.openxmlformats.org/officeDocument/2006/relationships/ctrlProp" Target="../ctrlProps/ctrlProp152.xml"/><Relationship Id="rId197" Type="http://schemas.openxmlformats.org/officeDocument/2006/relationships/ctrlProp" Target="../ctrlProps/ctrlProp194.xml"/><Relationship Id="rId362" Type="http://schemas.openxmlformats.org/officeDocument/2006/relationships/ctrlProp" Target="../ctrlProps/ctrlProp359.xml"/><Relationship Id="rId418" Type="http://schemas.openxmlformats.org/officeDocument/2006/relationships/ctrlProp" Target="../ctrlProps/ctrlProp415.xml"/><Relationship Id="rId625" Type="http://schemas.openxmlformats.org/officeDocument/2006/relationships/ctrlProp" Target="../ctrlProps/ctrlProp622.xml"/><Relationship Id="rId222" Type="http://schemas.openxmlformats.org/officeDocument/2006/relationships/ctrlProp" Target="../ctrlProps/ctrlProp219.xml"/><Relationship Id="rId264" Type="http://schemas.openxmlformats.org/officeDocument/2006/relationships/ctrlProp" Target="../ctrlProps/ctrlProp261.xml"/><Relationship Id="rId471" Type="http://schemas.openxmlformats.org/officeDocument/2006/relationships/ctrlProp" Target="../ctrlProps/ctrlProp468.xml"/><Relationship Id="rId667" Type="http://schemas.openxmlformats.org/officeDocument/2006/relationships/ctrlProp" Target="../ctrlProps/ctrlProp664.xml"/><Relationship Id="rId17" Type="http://schemas.openxmlformats.org/officeDocument/2006/relationships/ctrlProp" Target="../ctrlProps/ctrlProp14.xml"/><Relationship Id="rId59" Type="http://schemas.openxmlformats.org/officeDocument/2006/relationships/ctrlProp" Target="../ctrlProps/ctrlProp56.xml"/><Relationship Id="rId124" Type="http://schemas.openxmlformats.org/officeDocument/2006/relationships/ctrlProp" Target="../ctrlProps/ctrlProp121.xml"/><Relationship Id="rId527" Type="http://schemas.openxmlformats.org/officeDocument/2006/relationships/ctrlProp" Target="../ctrlProps/ctrlProp524.xml"/><Relationship Id="rId569" Type="http://schemas.openxmlformats.org/officeDocument/2006/relationships/ctrlProp" Target="../ctrlProps/ctrlProp566.xml"/><Relationship Id="rId70" Type="http://schemas.openxmlformats.org/officeDocument/2006/relationships/ctrlProp" Target="../ctrlProps/ctrlProp67.xml"/><Relationship Id="rId166" Type="http://schemas.openxmlformats.org/officeDocument/2006/relationships/ctrlProp" Target="../ctrlProps/ctrlProp163.xml"/><Relationship Id="rId331" Type="http://schemas.openxmlformats.org/officeDocument/2006/relationships/ctrlProp" Target="../ctrlProps/ctrlProp328.xml"/><Relationship Id="rId373" Type="http://schemas.openxmlformats.org/officeDocument/2006/relationships/ctrlProp" Target="../ctrlProps/ctrlProp370.xml"/><Relationship Id="rId429" Type="http://schemas.openxmlformats.org/officeDocument/2006/relationships/ctrlProp" Target="../ctrlProps/ctrlProp426.xml"/><Relationship Id="rId580" Type="http://schemas.openxmlformats.org/officeDocument/2006/relationships/ctrlProp" Target="../ctrlProps/ctrlProp577.xml"/><Relationship Id="rId636" Type="http://schemas.openxmlformats.org/officeDocument/2006/relationships/ctrlProp" Target="../ctrlProps/ctrlProp633.xml"/><Relationship Id="rId1" Type="http://schemas.openxmlformats.org/officeDocument/2006/relationships/printerSettings" Target="../printerSettings/printerSettings3.bin"/><Relationship Id="rId233" Type="http://schemas.openxmlformats.org/officeDocument/2006/relationships/ctrlProp" Target="../ctrlProps/ctrlProp230.xml"/><Relationship Id="rId440" Type="http://schemas.openxmlformats.org/officeDocument/2006/relationships/ctrlProp" Target="../ctrlProps/ctrlProp437.xml"/><Relationship Id="rId678" Type="http://schemas.openxmlformats.org/officeDocument/2006/relationships/ctrlProp" Target="../ctrlProps/ctrlProp675.xml"/><Relationship Id="rId28" Type="http://schemas.openxmlformats.org/officeDocument/2006/relationships/ctrlProp" Target="../ctrlProps/ctrlProp25.xml"/><Relationship Id="rId275" Type="http://schemas.openxmlformats.org/officeDocument/2006/relationships/ctrlProp" Target="../ctrlProps/ctrlProp272.xml"/><Relationship Id="rId300" Type="http://schemas.openxmlformats.org/officeDocument/2006/relationships/ctrlProp" Target="../ctrlProps/ctrlProp297.xml"/><Relationship Id="rId482" Type="http://schemas.openxmlformats.org/officeDocument/2006/relationships/ctrlProp" Target="../ctrlProps/ctrlProp479.xml"/><Relationship Id="rId538" Type="http://schemas.openxmlformats.org/officeDocument/2006/relationships/ctrlProp" Target="../ctrlProps/ctrlProp535.xml"/><Relationship Id="rId81" Type="http://schemas.openxmlformats.org/officeDocument/2006/relationships/ctrlProp" Target="../ctrlProps/ctrlProp78.xml"/><Relationship Id="rId135" Type="http://schemas.openxmlformats.org/officeDocument/2006/relationships/ctrlProp" Target="../ctrlProps/ctrlProp132.xml"/><Relationship Id="rId177" Type="http://schemas.openxmlformats.org/officeDocument/2006/relationships/ctrlProp" Target="../ctrlProps/ctrlProp174.xml"/><Relationship Id="rId342" Type="http://schemas.openxmlformats.org/officeDocument/2006/relationships/ctrlProp" Target="../ctrlProps/ctrlProp339.xml"/><Relationship Id="rId384" Type="http://schemas.openxmlformats.org/officeDocument/2006/relationships/ctrlProp" Target="../ctrlProps/ctrlProp381.xml"/><Relationship Id="rId591" Type="http://schemas.openxmlformats.org/officeDocument/2006/relationships/ctrlProp" Target="../ctrlProps/ctrlProp588.xml"/><Relationship Id="rId605" Type="http://schemas.openxmlformats.org/officeDocument/2006/relationships/ctrlProp" Target="../ctrlProps/ctrlProp602.xml"/><Relationship Id="rId202" Type="http://schemas.openxmlformats.org/officeDocument/2006/relationships/ctrlProp" Target="../ctrlProps/ctrlProp199.xml"/><Relationship Id="rId244" Type="http://schemas.openxmlformats.org/officeDocument/2006/relationships/ctrlProp" Target="../ctrlProps/ctrlProp241.xml"/><Relationship Id="rId647" Type="http://schemas.openxmlformats.org/officeDocument/2006/relationships/ctrlProp" Target="../ctrlProps/ctrlProp644.xml"/><Relationship Id="rId39" Type="http://schemas.openxmlformats.org/officeDocument/2006/relationships/ctrlProp" Target="../ctrlProps/ctrlProp36.xml"/><Relationship Id="rId286" Type="http://schemas.openxmlformats.org/officeDocument/2006/relationships/ctrlProp" Target="../ctrlProps/ctrlProp283.xml"/><Relationship Id="rId451" Type="http://schemas.openxmlformats.org/officeDocument/2006/relationships/ctrlProp" Target="../ctrlProps/ctrlProp448.xml"/><Relationship Id="rId493" Type="http://schemas.openxmlformats.org/officeDocument/2006/relationships/ctrlProp" Target="../ctrlProps/ctrlProp490.xml"/><Relationship Id="rId507" Type="http://schemas.openxmlformats.org/officeDocument/2006/relationships/ctrlProp" Target="../ctrlProps/ctrlProp504.xml"/><Relationship Id="rId549" Type="http://schemas.openxmlformats.org/officeDocument/2006/relationships/ctrlProp" Target="../ctrlProps/ctrlProp546.xml"/><Relationship Id="rId50" Type="http://schemas.openxmlformats.org/officeDocument/2006/relationships/ctrlProp" Target="../ctrlProps/ctrlProp47.xml"/><Relationship Id="rId104" Type="http://schemas.openxmlformats.org/officeDocument/2006/relationships/ctrlProp" Target="../ctrlProps/ctrlProp101.xml"/><Relationship Id="rId146" Type="http://schemas.openxmlformats.org/officeDocument/2006/relationships/ctrlProp" Target="../ctrlProps/ctrlProp143.xml"/><Relationship Id="rId188" Type="http://schemas.openxmlformats.org/officeDocument/2006/relationships/ctrlProp" Target="../ctrlProps/ctrlProp185.xml"/><Relationship Id="rId311" Type="http://schemas.openxmlformats.org/officeDocument/2006/relationships/ctrlProp" Target="../ctrlProps/ctrlProp308.xml"/><Relationship Id="rId353" Type="http://schemas.openxmlformats.org/officeDocument/2006/relationships/ctrlProp" Target="../ctrlProps/ctrlProp350.xml"/><Relationship Id="rId395" Type="http://schemas.openxmlformats.org/officeDocument/2006/relationships/ctrlProp" Target="../ctrlProps/ctrlProp392.xml"/><Relationship Id="rId409" Type="http://schemas.openxmlformats.org/officeDocument/2006/relationships/ctrlProp" Target="../ctrlProps/ctrlProp406.xml"/><Relationship Id="rId560" Type="http://schemas.openxmlformats.org/officeDocument/2006/relationships/ctrlProp" Target="../ctrlProps/ctrlProp557.xml"/><Relationship Id="rId92" Type="http://schemas.openxmlformats.org/officeDocument/2006/relationships/ctrlProp" Target="../ctrlProps/ctrlProp89.xml"/><Relationship Id="rId213" Type="http://schemas.openxmlformats.org/officeDocument/2006/relationships/ctrlProp" Target="../ctrlProps/ctrlProp210.xml"/><Relationship Id="rId420" Type="http://schemas.openxmlformats.org/officeDocument/2006/relationships/ctrlProp" Target="../ctrlProps/ctrlProp417.xml"/><Relationship Id="rId616" Type="http://schemas.openxmlformats.org/officeDocument/2006/relationships/ctrlProp" Target="../ctrlProps/ctrlProp613.xml"/><Relationship Id="rId658" Type="http://schemas.openxmlformats.org/officeDocument/2006/relationships/ctrlProp" Target="../ctrlProps/ctrlProp655.xml"/><Relationship Id="rId255" Type="http://schemas.openxmlformats.org/officeDocument/2006/relationships/ctrlProp" Target="../ctrlProps/ctrlProp252.xml"/><Relationship Id="rId297" Type="http://schemas.openxmlformats.org/officeDocument/2006/relationships/ctrlProp" Target="../ctrlProps/ctrlProp294.xml"/><Relationship Id="rId462" Type="http://schemas.openxmlformats.org/officeDocument/2006/relationships/ctrlProp" Target="../ctrlProps/ctrlProp459.xml"/><Relationship Id="rId518" Type="http://schemas.openxmlformats.org/officeDocument/2006/relationships/ctrlProp" Target="../ctrlProps/ctrlProp515.xml"/><Relationship Id="rId115" Type="http://schemas.openxmlformats.org/officeDocument/2006/relationships/ctrlProp" Target="../ctrlProps/ctrlProp112.xml"/><Relationship Id="rId157" Type="http://schemas.openxmlformats.org/officeDocument/2006/relationships/ctrlProp" Target="../ctrlProps/ctrlProp154.xml"/><Relationship Id="rId322" Type="http://schemas.openxmlformats.org/officeDocument/2006/relationships/ctrlProp" Target="../ctrlProps/ctrlProp319.xml"/><Relationship Id="rId364" Type="http://schemas.openxmlformats.org/officeDocument/2006/relationships/ctrlProp" Target="../ctrlProps/ctrlProp361.xml"/><Relationship Id="rId61" Type="http://schemas.openxmlformats.org/officeDocument/2006/relationships/ctrlProp" Target="../ctrlProps/ctrlProp58.xml"/><Relationship Id="rId199" Type="http://schemas.openxmlformats.org/officeDocument/2006/relationships/ctrlProp" Target="../ctrlProps/ctrlProp196.xml"/><Relationship Id="rId571" Type="http://schemas.openxmlformats.org/officeDocument/2006/relationships/ctrlProp" Target="../ctrlProps/ctrlProp568.xml"/><Relationship Id="rId627" Type="http://schemas.openxmlformats.org/officeDocument/2006/relationships/ctrlProp" Target="../ctrlProps/ctrlProp624.xml"/><Relationship Id="rId669" Type="http://schemas.openxmlformats.org/officeDocument/2006/relationships/ctrlProp" Target="../ctrlProps/ctrlProp666.xml"/><Relationship Id="rId19" Type="http://schemas.openxmlformats.org/officeDocument/2006/relationships/ctrlProp" Target="../ctrlProps/ctrlProp16.xml"/><Relationship Id="rId224" Type="http://schemas.openxmlformats.org/officeDocument/2006/relationships/ctrlProp" Target="../ctrlProps/ctrlProp221.xml"/><Relationship Id="rId266" Type="http://schemas.openxmlformats.org/officeDocument/2006/relationships/ctrlProp" Target="../ctrlProps/ctrlProp263.xml"/><Relationship Id="rId431" Type="http://schemas.openxmlformats.org/officeDocument/2006/relationships/ctrlProp" Target="../ctrlProps/ctrlProp428.xml"/><Relationship Id="rId473" Type="http://schemas.openxmlformats.org/officeDocument/2006/relationships/ctrlProp" Target="../ctrlProps/ctrlProp470.xml"/><Relationship Id="rId529" Type="http://schemas.openxmlformats.org/officeDocument/2006/relationships/ctrlProp" Target="../ctrlProps/ctrlProp526.xml"/><Relationship Id="rId30" Type="http://schemas.openxmlformats.org/officeDocument/2006/relationships/ctrlProp" Target="../ctrlProps/ctrlProp27.xml"/><Relationship Id="rId126" Type="http://schemas.openxmlformats.org/officeDocument/2006/relationships/ctrlProp" Target="../ctrlProps/ctrlProp123.xml"/><Relationship Id="rId168" Type="http://schemas.openxmlformats.org/officeDocument/2006/relationships/ctrlProp" Target="../ctrlProps/ctrlProp165.xml"/><Relationship Id="rId333" Type="http://schemas.openxmlformats.org/officeDocument/2006/relationships/ctrlProp" Target="../ctrlProps/ctrlProp330.xml"/><Relationship Id="rId540" Type="http://schemas.openxmlformats.org/officeDocument/2006/relationships/ctrlProp" Target="../ctrlProps/ctrlProp537.xml"/><Relationship Id="rId72" Type="http://schemas.openxmlformats.org/officeDocument/2006/relationships/ctrlProp" Target="../ctrlProps/ctrlProp69.xml"/><Relationship Id="rId375" Type="http://schemas.openxmlformats.org/officeDocument/2006/relationships/ctrlProp" Target="../ctrlProps/ctrlProp372.xml"/><Relationship Id="rId582" Type="http://schemas.openxmlformats.org/officeDocument/2006/relationships/ctrlProp" Target="../ctrlProps/ctrlProp579.xml"/><Relationship Id="rId638" Type="http://schemas.openxmlformats.org/officeDocument/2006/relationships/ctrlProp" Target="../ctrlProps/ctrlProp635.xml"/><Relationship Id="rId3" Type="http://schemas.openxmlformats.org/officeDocument/2006/relationships/vmlDrawing" Target="../drawings/vmlDrawing1.vml"/><Relationship Id="rId235" Type="http://schemas.openxmlformats.org/officeDocument/2006/relationships/ctrlProp" Target="../ctrlProps/ctrlProp232.xml"/><Relationship Id="rId277" Type="http://schemas.openxmlformats.org/officeDocument/2006/relationships/ctrlProp" Target="../ctrlProps/ctrlProp274.xml"/><Relationship Id="rId400" Type="http://schemas.openxmlformats.org/officeDocument/2006/relationships/ctrlProp" Target="../ctrlProps/ctrlProp397.xml"/><Relationship Id="rId442" Type="http://schemas.openxmlformats.org/officeDocument/2006/relationships/ctrlProp" Target="../ctrlProps/ctrlProp439.xml"/><Relationship Id="rId484" Type="http://schemas.openxmlformats.org/officeDocument/2006/relationships/ctrlProp" Target="../ctrlProps/ctrlProp481.xml"/><Relationship Id="rId137" Type="http://schemas.openxmlformats.org/officeDocument/2006/relationships/ctrlProp" Target="../ctrlProps/ctrlProp134.xml"/><Relationship Id="rId302" Type="http://schemas.openxmlformats.org/officeDocument/2006/relationships/ctrlProp" Target="../ctrlProps/ctrlProp299.xml"/><Relationship Id="rId344" Type="http://schemas.openxmlformats.org/officeDocument/2006/relationships/ctrlProp" Target="../ctrlProps/ctrlProp341.xml"/><Relationship Id="rId41" Type="http://schemas.openxmlformats.org/officeDocument/2006/relationships/ctrlProp" Target="../ctrlProps/ctrlProp38.xml"/><Relationship Id="rId83" Type="http://schemas.openxmlformats.org/officeDocument/2006/relationships/ctrlProp" Target="../ctrlProps/ctrlProp80.xml"/><Relationship Id="rId179" Type="http://schemas.openxmlformats.org/officeDocument/2006/relationships/ctrlProp" Target="../ctrlProps/ctrlProp176.xml"/><Relationship Id="rId386" Type="http://schemas.openxmlformats.org/officeDocument/2006/relationships/ctrlProp" Target="../ctrlProps/ctrlProp383.xml"/><Relationship Id="rId551" Type="http://schemas.openxmlformats.org/officeDocument/2006/relationships/ctrlProp" Target="../ctrlProps/ctrlProp548.xml"/><Relationship Id="rId593" Type="http://schemas.openxmlformats.org/officeDocument/2006/relationships/ctrlProp" Target="../ctrlProps/ctrlProp590.xml"/><Relationship Id="rId607" Type="http://schemas.openxmlformats.org/officeDocument/2006/relationships/ctrlProp" Target="../ctrlProps/ctrlProp604.xml"/><Relationship Id="rId649" Type="http://schemas.openxmlformats.org/officeDocument/2006/relationships/ctrlProp" Target="../ctrlProps/ctrlProp646.xml"/><Relationship Id="rId190" Type="http://schemas.openxmlformats.org/officeDocument/2006/relationships/ctrlProp" Target="../ctrlProps/ctrlProp187.xml"/><Relationship Id="rId204" Type="http://schemas.openxmlformats.org/officeDocument/2006/relationships/ctrlProp" Target="../ctrlProps/ctrlProp201.xml"/><Relationship Id="rId246" Type="http://schemas.openxmlformats.org/officeDocument/2006/relationships/ctrlProp" Target="../ctrlProps/ctrlProp243.xml"/><Relationship Id="rId288" Type="http://schemas.openxmlformats.org/officeDocument/2006/relationships/ctrlProp" Target="../ctrlProps/ctrlProp285.xml"/><Relationship Id="rId411" Type="http://schemas.openxmlformats.org/officeDocument/2006/relationships/ctrlProp" Target="../ctrlProps/ctrlProp408.xml"/><Relationship Id="rId453" Type="http://schemas.openxmlformats.org/officeDocument/2006/relationships/ctrlProp" Target="../ctrlProps/ctrlProp450.xml"/><Relationship Id="rId509" Type="http://schemas.openxmlformats.org/officeDocument/2006/relationships/ctrlProp" Target="../ctrlProps/ctrlProp506.xml"/><Relationship Id="rId660" Type="http://schemas.openxmlformats.org/officeDocument/2006/relationships/ctrlProp" Target="../ctrlProps/ctrlProp657.xml"/><Relationship Id="rId106" Type="http://schemas.openxmlformats.org/officeDocument/2006/relationships/ctrlProp" Target="../ctrlProps/ctrlProp103.xml"/><Relationship Id="rId313" Type="http://schemas.openxmlformats.org/officeDocument/2006/relationships/ctrlProp" Target="../ctrlProps/ctrlProp310.xml"/><Relationship Id="rId495" Type="http://schemas.openxmlformats.org/officeDocument/2006/relationships/ctrlProp" Target="../ctrlProps/ctrlProp492.xml"/><Relationship Id="rId10" Type="http://schemas.openxmlformats.org/officeDocument/2006/relationships/ctrlProp" Target="../ctrlProps/ctrlProp7.xml"/><Relationship Id="rId52" Type="http://schemas.openxmlformats.org/officeDocument/2006/relationships/ctrlProp" Target="../ctrlProps/ctrlProp49.xml"/><Relationship Id="rId94" Type="http://schemas.openxmlformats.org/officeDocument/2006/relationships/ctrlProp" Target="../ctrlProps/ctrlProp91.xml"/><Relationship Id="rId148" Type="http://schemas.openxmlformats.org/officeDocument/2006/relationships/ctrlProp" Target="../ctrlProps/ctrlProp145.xml"/><Relationship Id="rId355" Type="http://schemas.openxmlformats.org/officeDocument/2006/relationships/ctrlProp" Target="../ctrlProps/ctrlProp352.xml"/><Relationship Id="rId397" Type="http://schemas.openxmlformats.org/officeDocument/2006/relationships/ctrlProp" Target="../ctrlProps/ctrlProp394.xml"/><Relationship Id="rId520" Type="http://schemas.openxmlformats.org/officeDocument/2006/relationships/ctrlProp" Target="../ctrlProps/ctrlProp517.xml"/><Relationship Id="rId562" Type="http://schemas.openxmlformats.org/officeDocument/2006/relationships/ctrlProp" Target="../ctrlProps/ctrlProp559.xml"/><Relationship Id="rId618" Type="http://schemas.openxmlformats.org/officeDocument/2006/relationships/ctrlProp" Target="../ctrlProps/ctrlProp615.xml"/><Relationship Id="rId215" Type="http://schemas.openxmlformats.org/officeDocument/2006/relationships/ctrlProp" Target="../ctrlProps/ctrlProp212.xml"/><Relationship Id="rId257" Type="http://schemas.openxmlformats.org/officeDocument/2006/relationships/ctrlProp" Target="../ctrlProps/ctrlProp254.xml"/><Relationship Id="rId422" Type="http://schemas.openxmlformats.org/officeDocument/2006/relationships/ctrlProp" Target="../ctrlProps/ctrlProp419.xml"/><Relationship Id="rId464" Type="http://schemas.openxmlformats.org/officeDocument/2006/relationships/ctrlProp" Target="../ctrlProps/ctrlProp461.xml"/><Relationship Id="rId299" Type="http://schemas.openxmlformats.org/officeDocument/2006/relationships/ctrlProp" Target="../ctrlProps/ctrlProp296.xml"/><Relationship Id="rId63" Type="http://schemas.openxmlformats.org/officeDocument/2006/relationships/ctrlProp" Target="../ctrlProps/ctrlProp60.xml"/><Relationship Id="rId159" Type="http://schemas.openxmlformats.org/officeDocument/2006/relationships/ctrlProp" Target="../ctrlProps/ctrlProp156.xml"/><Relationship Id="rId366" Type="http://schemas.openxmlformats.org/officeDocument/2006/relationships/ctrlProp" Target="../ctrlProps/ctrlProp363.xml"/><Relationship Id="rId573" Type="http://schemas.openxmlformats.org/officeDocument/2006/relationships/ctrlProp" Target="../ctrlProps/ctrlProp570.xml"/><Relationship Id="rId226" Type="http://schemas.openxmlformats.org/officeDocument/2006/relationships/ctrlProp" Target="../ctrlProps/ctrlProp223.xml"/><Relationship Id="rId433" Type="http://schemas.openxmlformats.org/officeDocument/2006/relationships/ctrlProp" Target="../ctrlProps/ctrlProp430.xml"/><Relationship Id="rId640" Type="http://schemas.openxmlformats.org/officeDocument/2006/relationships/ctrlProp" Target="../ctrlProps/ctrlProp637.xml"/><Relationship Id="rId74" Type="http://schemas.openxmlformats.org/officeDocument/2006/relationships/ctrlProp" Target="../ctrlProps/ctrlProp71.xml"/><Relationship Id="rId377" Type="http://schemas.openxmlformats.org/officeDocument/2006/relationships/ctrlProp" Target="../ctrlProps/ctrlProp374.xml"/><Relationship Id="rId500" Type="http://schemas.openxmlformats.org/officeDocument/2006/relationships/ctrlProp" Target="../ctrlProps/ctrlProp497.xml"/><Relationship Id="rId584" Type="http://schemas.openxmlformats.org/officeDocument/2006/relationships/ctrlProp" Target="../ctrlProps/ctrlProp581.xml"/><Relationship Id="rId5" Type="http://schemas.openxmlformats.org/officeDocument/2006/relationships/ctrlProp" Target="../ctrlProps/ctrlProp2.xml"/><Relationship Id="rId237" Type="http://schemas.openxmlformats.org/officeDocument/2006/relationships/ctrlProp" Target="../ctrlProps/ctrlProp234.xml"/><Relationship Id="rId444" Type="http://schemas.openxmlformats.org/officeDocument/2006/relationships/ctrlProp" Target="../ctrlProps/ctrlProp441.xml"/><Relationship Id="rId651" Type="http://schemas.openxmlformats.org/officeDocument/2006/relationships/ctrlProp" Target="../ctrlProps/ctrlProp648.xml"/><Relationship Id="rId290" Type="http://schemas.openxmlformats.org/officeDocument/2006/relationships/ctrlProp" Target="../ctrlProps/ctrlProp287.xml"/><Relationship Id="rId304" Type="http://schemas.openxmlformats.org/officeDocument/2006/relationships/ctrlProp" Target="../ctrlProps/ctrlProp301.xml"/><Relationship Id="rId388" Type="http://schemas.openxmlformats.org/officeDocument/2006/relationships/ctrlProp" Target="../ctrlProps/ctrlProp385.xml"/><Relationship Id="rId511" Type="http://schemas.openxmlformats.org/officeDocument/2006/relationships/ctrlProp" Target="../ctrlProps/ctrlProp508.xml"/><Relationship Id="rId609" Type="http://schemas.openxmlformats.org/officeDocument/2006/relationships/ctrlProp" Target="../ctrlProps/ctrlProp606.xml"/><Relationship Id="rId85" Type="http://schemas.openxmlformats.org/officeDocument/2006/relationships/ctrlProp" Target="../ctrlProps/ctrlProp82.xml"/><Relationship Id="rId150" Type="http://schemas.openxmlformats.org/officeDocument/2006/relationships/ctrlProp" Target="../ctrlProps/ctrlProp147.xml"/><Relationship Id="rId595" Type="http://schemas.openxmlformats.org/officeDocument/2006/relationships/ctrlProp" Target="../ctrlProps/ctrlProp592.xml"/><Relationship Id="rId248" Type="http://schemas.openxmlformats.org/officeDocument/2006/relationships/ctrlProp" Target="../ctrlProps/ctrlProp245.xml"/><Relationship Id="rId455" Type="http://schemas.openxmlformats.org/officeDocument/2006/relationships/ctrlProp" Target="../ctrlProps/ctrlProp452.xml"/><Relationship Id="rId662" Type="http://schemas.openxmlformats.org/officeDocument/2006/relationships/ctrlProp" Target="../ctrlProps/ctrlProp659.xml"/><Relationship Id="rId12" Type="http://schemas.openxmlformats.org/officeDocument/2006/relationships/ctrlProp" Target="../ctrlProps/ctrlProp9.xml"/><Relationship Id="rId108" Type="http://schemas.openxmlformats.org/officeDocument/2006/relationships/ctrlProp" Target="../ctrlProps/ctrlProp105.xml"/><Relationship Id="rId315" Type="http://schemas.openxmlformats.org/officeDocument/2006/relationships/ctrlProp" Target="../ctrlProps/ctrlProp312.xml"/><Relationship Id="rId522" Type="http://schemas.openxmlformats.org/officeDocument/2006/relationships/ctrlProp" Target="../ctrlProps/ctrlProp519.xml"/><Relationship Id="rId96" Type="http://schemas.openxmlformats.org/officeDocument/2006/relationships/ctrlProp" Target="../ctrlProps/ctrlProp93.xml"/><Relationship Id="rId161" Type="http://schemas.openxmlformats.org/officeDocument/2006/relationships/ctrlProp" Target="../ctrlProps/ctrlProp158.xml"/><Relationship Id="rId399" Type="http://schemas.openxmlformats.org/officeDocument/2006/relationships/ctrlProp" Target="../ctrlProps/ctrlProp396.xml"/><Relationship Id="rId259" Type="http://schemas.openxmlformats.org/officeDocument/2006/relationships/ctrlProp" Target="../ctrlProps/ctrlProp256.xml"/><Relationship Id="rId466" Type="http://schemas.openxmlformats.org/officeDocument/2006/relationships/ctrlProp" Target="../ctrlProps/ctrlProp463.xml"/><Relationship Id="rId673" Type="http://schemas.openxmlformats.org/officeDocument/2006/relationships/ctrlProp" Target="../ctrlProps/ctrlProp670.xml"/><Relationship Id="rId23" Type="http://schemas.openxmlformats.org/officeDocument/2006/relationships/ctrlProp" Target="../ctrlProps/ctrlProp20.xml"/><Relationship Id="rId119" Type="http://schemas.openxmlformats.org/officeDocument/2006/relationships/ctrlProp" Target="../ctrlProps/ctrlProp116.xml"/><Relationship Id="rId326" Type="http://schemas.openxmlformats.org/officeDocument/2006/relationships/ctrlProp" Target="../ctrlProps/ctrlProp323.xml"/><Relationship Id="rId533" Type="http://schemas.openxmlformats.org/officeDocument/2006/relationships/ctrlProp" Target="../ctrlProps/ctrlProp530.xml"/><Relationship Id="rId172" Type="http://schemas.openxmlformats.org/officeDocument/2006/relationships/ctrlProp" Target="../ctrlProps/ctrlProp169.xml"/><Relationship Id="rId477" Type="http://schemas.openxmlformats.org/officeDocument/2006/relationships/ctrlProp" Target="../ctrlProps/ctrlProp474.xml"/><Relationship Id="rId600" Type="http://schemas.openxmlformats.org/officeDocument/2006/relationships/ctrlProp" Target="../ctrlProps/ctrlProp597.xml"/><Relationship Id="rId337" Type="http://schemas.openxmlformats.org/officeDocument/2006/relationships/ctrlProp" Target="../ctrlProps/ctrlProp334.xml"/><Relationship Id="rId34" Type="http://schemas.openxmlformats.org/officeDocument/2006/relationships/ctrlProp" Target="../ctrlProps/ctrlProp31.xml"/><Relationship Id="rId544" Type="http://schemas.openxmlformats.org/officeDocument/2006/relationships/ctrlProp" Target="../ctrlProps/ctrlProp541.xml"/><Relationship Id="rId183" Type="http://schemas.openxmlformats.org/officeDocument/2006/relationships/ctrlProp" Target="../ctrlProps/ctrlProp180.xml"/><Relationship Id="rId390" Type="http://schemas.openxmlformats.org/officeDocument/2006/relationships/ctrlProp" Target="../ctrlProps/ctrlProp387.xml"/><Relationship Id="rId404" Type="http://schemas.openxmlformats.org/officeDocument/2006/relationships/ctrlProp" Target="../ctrlProps/ctrlProp401.xml"/><Relationship Id="rId611" Type="http://schemas.openxmlformats.org/officeDocument/2006/relationships/ctrlProp" Target="../ctrlProps/ctrlProp608.xml"/><Relationship Id="rId250" Type="http://schemas.openxmlformats.org/officeDocument/2006/relationships/ctrlProp" Target="../ctrlProps/ctrlProp247.xml"/><Relationship Id="rId488" Type="http://schemas.openxmlformats.org/officeDocument/2006/relationships/ctrlProp" Target="../ctrlProps/ctrlProp485.xml"/><Relationship Id="rId45" Type="http://schemas.openxmlformats.org/officeDocument/2006/relationships/ctrlProp" Target="../ctrlProps/ctrlProp42.xml"/><Relationship Id="rId110" Type="http://schemas.openxmlformats.org/officeDocument/2006/relationships/ctrlProp" Target="../ctrlProps/ctrlProp107.xml"/><Relationship Id="rId348" Type="http://schemas.openxmlformats.org/officeDocument/2006/relationships/ctrlProp" Target="../ctrlProps/ctrlProp345.xml"/><Relationship Id="rId555" Type="http://schemas.openxmlformats.org/officeDocument/2006/relationships/ctrlProp" Target="../ctrlProps/ctrlProp552.xml"/><Relationship Id="rId194" Type="http://schemas.openxmlformats.org/officeDocument/2006/relationships/ctrlProp" Target="../ctrlProps/ctrlProp191.xml"/><Relationship Id="rId208" Type="http://schemas.openxmlformats.org/officeDocument/2006/relationships/ctrlProp" Target="../ctrlProps/ctrlProp205.xml"/><Relationship Id="rId415" Type="http://schemas.openxmlformats.org/officeDocument/2006/relationships/ctrlProp" Target="../ctrlProps/ctrlProp412.xml"/><Relationship Id="rId622" Type="http://schemas.openxmlformats.org/officeDocument/2006/relationships/ctrlProp" Target="../ctrlProps/ctrlProp619.xml"/><Relationship Id="rId261" Type="http://schemas.openxmlformats.org/officeDocument/2006/relationships/ctrlProp" Target="../ctrlProps/ctrlProp258.xml"/><Relationship Id="rId499" Type="http://schemas.openxmlformats.org/officeDocument/2006/relationships/ctrlProp" Target="../ctrlProps/ctrlProp496.xml"/><Relationship Id="rId56" Type="http://schemas.openxmlformats.org/officeDocument/2006/relationships/ctrlProp" Target="../ctrlProps/ctrlProp53.xml"/><Relationship Id="rId359" Type="http://schemas.openxmlformats.org/officeDocument/2006/relationships/ctrlProp" Target="../ctrlProps/ctrlProp356.xml"/><Relationship Id="rId566" Type="http://schemas.openxmlformats.org/officeDocument/2006/relationships/ctrlProp" Target="../ctrlProps/ctrlProp563.xml"/><Relationship Id="rId121" Type="http://schemas.openxmlformats.org/officeDocument/2006/relationships/ctrlProp" Target="../ctrlProps/ctrlProp118.xml"/><Relationship Id="rId219" Type="http://schemas.openxmlformats.org/officeDocument/2006/relationships/ctrlProp" Target="../ctrlProps/ctrlProp216.xml"/><Relationship Id="rId426" Type="http://schemas.openxmlformats.org/officeDocument/2006/relationships/ctrlProp" Target="../ctrlProps/ctrlProp423.xml"/><Relationship Id="rId633" Type="http://schemas.openxmlformats.org/officeDocument/2006/relationships/ctrlProp" Target="../ctrlProps/ctrlProp630.xml"/><Relationship Id="rId67" Type="http://schemas.openxmlformats.org/officeDocument/2006/relationships/ctrlProp" Target="../ctrlProps/ctrlProp64.xml"/><Relationship Id="rId272" Type="http://schemas.openxmlformats.org/officeDocument/2006/relationships/ctrlProp" Target="../ctrlProps/ctrlProp269.xml"/><Relationship Id="rId577" Type="http://schemas.openxmlformats.org/officeDocument/2006/relationships/ctrlProp" Target="../ctrlProps/ctrlProp574.xml"/><Relationship Id="rId132" Type="http://schemas.openxmlformats.org/officeDocument/2006/relationships/ctrlProp" Target="../ctrlProps/ctrlProp129.xml"/><Relationship Id="rId437" Type="http://schemas.openxmlformats.org/officeDocument/2006/relationships/ctrlProp" Target="../ctrlProps/ctrlProp434.xml"/><Relationship Id="rId644" Type="http://schemas.openxmlformats.org/officeDocument/2006/relationships/ctrlProp" Target="../ctrlProps/ctrlProp641.xml"/><Relationship Id="rId283" Type="http://schemas.openxmlformats.org/officeDocument/2006/relationships/ctrlProp" Target="../ctrlProps/ctrlProp280.xml"/><Relationship Id="rId490" Type="http://schemas.openxmlformats.org/officeDocument/2006/relationships/ctrlProp" Target="../ctrlProps/ctrlProp487.xml"/><Relationship Id="rId504" Type="http://schemas.openxmlformats.org/officeDocument/2006/relationships/ctrlProp" Target="../ctrlProps/ctrlProp501.xml"/><Relationship Id="rId78" Type="http://schemas.openxmlformats.org/officeDocument/2006/relationships/ctrlProp" Target="../ctrlProps/ctrlProp75.xml"/><Relationship Id="rId143" Type="http://schemas.openxmlformats.org/officeDocument/2006/relationships/ctrlProp" Target="../ctrlProps/ctrlProp140.xml"/><Relationship Id="rId350" Type="http://schemas.openxmlformats.org/officeDocument/2006/relationships/ctrlProp" Target="../ctrlProps/ctrlProp347.xml"/><Relationship Id="rId588" Type="http://schemas.openxmlformats.org/officeDocument/2006/relationships/ctrlProp" Target="../ctrlProps/ctrlProp585.xml"/><Relationship Id="rId9" Type="http://schemas.openxmlformats.org/officeDocument/2006/relationships/ctrlProp" Target="../ctrlProps/ctrlProp6.xml"/><Relationship Id="rId210" Type="http://schemas.openxmlformats.org/officeDocument/2006/relationships/ctrlProp" Target="../ctrlProps/ctrlProp207.xml"/><Relationship Id="rId448" Type="http://schemas.openxmlformats.org/officeDocument/2006/relationships/ctrlProp" Target="../ctrlProps/ctrlProp445.xml"/><Relationship Id="rId655" Type="http://schemas.openxmlformats.org/officeDocument/2006/relationships/ctrlProp" Target="../ctrlProps/ctrlProp652.xml"/><Relationship Id="rId294" Type="http://schemas.openxmlformats.org/officeDocument/2006/relationships/ctrlProp" Target="../ctrlProps/ctrlProp291.xml"/><Relationship Id="rId308" Type="http://schemas.openxmlformats.org/officeDocument/2006/relationships/ctrlProp" Target="../ctrlProps/ctrlProp305.xml"/><Relationship Id="rId515" Type="http://schemas.openxmlformats.org/officeDocument/2006/relationships/ctrlProp" Target="../ctrlProps/ctrlProp512.xml"/><Relationship Id="rId89" Type="http://schemas.openxmlformats.org/officeDocument/2006/relationships/ctrlProp" Target="../ctrlProps/ctrlProp86.xml"/><Relationship Id="rId154" Type="http://schemas.openxmlformats.org/officeDocument/2006/relationships/ctrlProp" Target="../ctrlProps/ctrlProp151.xml"/><Relationship Id="rId361" Type="http://schemas.openxmlformats.org/officeDocument/2006/relationships/ctrlProp" Target="../ctrlProps/ctrlProp358.xml"/><Relationship Id="rId599" Type="http://schemas.openxmlformats.org/officeDocument/2006/relationships/ctrlProp" Target="../ctrlProps/ctrlProp596.xml"/><Relationship Id="rId459" Type="http://schemas.openxmlformats.org/officeDocument/2006/relationships/ctrlProp" Target="../ctrlProps/ctrlProp456.xml"/><Relationship Id="rId666" Type="http://schemas.openxmlformats.org/officeDocument/2006/relationships/ctrlProp" Target="../ctrlProps/ctrlProp663.xml"/><Relationship Id="rId16" Type="http://schemas.openxmlformats.org/officeDocument/2006/relationships/ctrlProp" Target="../ctrlProps/ctrlProp13.xml"/><Relationship Id="rId221" Type="http://schemas.openxmlformats.org/officeDocument/2006/relationships/ctrlProp" Target="../ctrlProps/ctrlProp218.xml"/><Relationship Id="rId319" Type="http://schemas.openxmlformats.org/officeDocument/2006/relationships/ctrlProp" Target="../ctrlProps/ctrlProp316.xml"/><Relationship Id="rId526" Type="http://schemas.openxmlformats.org/officeDocument/2006/relationships/ctrlProp" Target="../ctrlProps/ctrlProp523.xml"/><Relationship Id="rId165" Type="http://schemas.openxmlformats.org/officeDocument/2006/relationships/ctrlProp" Target="../ctrlProps/ctrlProp162.xml"/><Relationship Id="rId372" Type="http://schemas.openxmlformats.org/officeDocument/2006/relationships/ctrlProp" Target="../ctrlProps/ctrlProp369.xml"/><Relationship Id="rId677" Type="http://schemas.openxmlformats.org/officeDocument/2006/relationships/ctrlProp" Target="../ctrlProps/ctrlProp674.xml"/><Relationship Id="rId232" Type="http://schemas.openxmlformats.org/officeDocument/2006/relationships/ctrlProp" Target="../ctrlProps/ctrlProp229.xml"/><Relationship Id="rId27" Type="http://schemas.openxmlformats.org/officeDocument/2006/relationships/ctrlProp" Target="../ctrlProps/ctrlProp24.xml"/><Relationship Id="rId537" Type="http://schemas.openxmlformats.org/officeDocument/2006/relationships/ctrlProp" Target="../ctrlProps/ctrlProp534.xml"/><Relationship Id="rId80" Type="http://schemas.openxmlformats.org/officeDocument/2006/relationships/ctrlProp" Target="../ctrlProps/ctrlProp77.xml"/><Relationship Id="rId176" Type="http://schemas.openxmlformats.org/officeDocument/2006/relationships/ctrlProp" Target="../ctrlProps/ctrlProp173.xml"/><Relationship Id="rId383" Type="http://schemas.openxmlformats.org/officeDocument/2006/relationships/ctrlProp" Target="../ctrlProps/ctrlProp380.xml"/><Relationship Id="rId590" Type="http://schemas.openxmlformats.org/officeDocument/2006/relationships/ctrlProp" Target="../ctrlProps/ctrlProp587.xml"/><Relationship Id="rId604" Type="http://schemas.openxmlformats.org/officeDocument/2006/relationships/ctrlProp" Target="../ctrlProps/ctrlProp601.xml"/><Relationship Id="rId243" Type="http://schemas.openxmlformats.org/officeDocument/2006/relationships/ctrlProp" Target="../ctrlProps/ctrlProp240.xml"/><Relationship Id="rId450" Type="http://schemas.openxmlformats.org/officeDocument/2006/relationships/ctrlProp" Target="../ctrlProps/ctrlProp447.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80E09-BFAC-4EEF-BAE5-2E995793FB5E}">
  <dimension ref="A1:G58"/>
  <sheetViews>
    <sheetView topLeftCell="A33" workbookViewId="0">
      <selection activeCell="C46" sqref="C46"/>
    </sheetView>
  </sheetViews>
  <sheetFormatPr defaultRowHeight="14.5" x14ac:dyDescent="0.35"/>
  <cols>
    <col min="1" max="1" width="21.54296875" bestFit="1" customWidth="1"/>
    <col min="2" max="2" width="26.1796875" bestFit="1" customWidth="1"/>
    <col min="4" max="4" width="20" bestFit="1" customWidth="1"/>
    <col min="5" max="5" width="13.1796875" bestFit="1" customWidth="1"/>
    <col min="6" max="6" width="9.54296875" bestFit="1" customWidth="1"/>
  </cols>
  <sheetData>
    <row r="1" spans="1:6" x14ac:dyDescent="0.35">
      <c r="A1" s="149" t="s">
        <v>0</v>
      </c>
    </row>
    <row r="2" spans="1:6" x14ac:dyDescent="0.35">
      <c r="A2" s="150" t="s">
        <v>1</v>
      </c>
      <c r="B2" s="151" t="s">
        <v>2</v>
      </c>
      <c r="D2" s="150" t="s">
        <v>3</v>
      </c>
      <c r="E2" s="85" t="s">
        <v>4</v>
      </c>
      <c r="F2" s="86" t="s">
        <v>5</v>
      </c>
    </row>
    <row r="3" spans="1:6" x14ac:dyDescent="0.35">
      <c r="B3" s="151" t="s">
        <v>6</v>
      </c>
      <c r="E3" s="85" t="s">
        <v>7</v>
      </c>
      <c r="F3" s="86" t="s">
        <v>8</v>
      </c>
    </row>
    <row r="4" spans="1:6" x14ac:dyDescent="0.35">
      <c r="B4" s="151" t="s">
        <v>9</v>
      </c>
      <c r="E4" s="85" t="s">
        <v>10</v>
      </c>
      <c r="F4" s="86" t="s">
        <v>11</v>
      </c>
    </row>
    <row r="5" spans="1:6" x14ac:dyDescent="0.35">
      <c r="B5" s="151" t="s">
        <v>12</v>
      </c>
      <c r="E5" s="85" t="s">
        <v>13</v>
      </c>
      <c r="F5" s="86" t="s">
        <v>14</v>
      </c>
    </row>
    <row r="6" spans="1:6" x14ac:dyDescent="0.35">
      <c r="B6" s="151" t="s">
        <v>15</v>
      </c>
      <c r="E6" s="85" t="s">
        <v>16</v>
      </c>
      <c r="F6" s="86" t="s">
        <v>17</v>
      </c>
    </row>
    <row r="7" spans="1:6" x14ac:dyDescent="0.35">
      <c r="B7" s="151" t="s">
        <v>18</v>
      </c>
      <c r="E7" s="85" t="s">
        <v>19</v>
      </c>
      <c r="F7" s="86" t="s">
        <v>20</v>
      </c>
    </row>
    <row r="8" spans="1:6" x14ac:dyDescent="0.35">
      <c r="A8" s="150" t="s">
        <v>21</v>
      </c>
      <c r="B8" s="151" t="s">
        <v>22</v>
      </c>
      <c r="E8" s="85" t="s">
        <v>23</v>
      </c>
      <c r="F8" s="86" t="s">
        <v>23</v>
      </c>
    </row>
    <row r="9" spans="1:6" x14ac:dyDescent="0.35">
      <c r="B9" s="151" t="s">
        <v>24</v>
      </c>
      <c r="E9" s="85" t="s">
        <v>25</v>
      </c>
      <c r="F9" s="86" t="s">
        <v>26</v>
      </c>
    </row>
    <row r="10" spans="1:6" x14ac:dyDescent="0.35">
      <c r="B10" s="151" t="s">
        <v>27</v>
      </c>
      <c r="E10" s="85" t="s">
        <v>28</v>
      </c>
      <c r="F10" s="86" t="s">
        <v>29</v>
      </c>
    </row>
    <row r="11" spans="1:6" x14ac:dyDescent="0.35">
      <c r="B11" s="151" t="s">
        <v>30</v>
      </c>
      <c r="E11" s="85" t="s">
        <v>31</v>
      </c>
      <c r="F11" s="86" t="s">
        <v>32</v>
      </c>
    </row>
    <row r="12" spans="1:6" x14ac:dyDescent="0.35">
      <c r="B12" s="151" t="s">
        <v>33</v>
      </c>
      <c r="E12" s="85" t="s">
        <v>34</v>
      </c>
      <c r="F12" s="86" t="s">
        <v>35</v>
      </c>
    </row>
    <row r="13" spans="1:6" x14ac:dyDescent="0.35">
      <c r="B13" s="151" t="s">
        <v>36</v>
      </c>
      <c r="E13" s="85" t="s">
        <v>37</v>
      </c>
      <c r="F13" s="86" t="s">
        <v>38</v>
      </c>
    </row>
    <row r="14" spans="1:6" x14ac:dyDescent="0.35">
      <c r="B14" s="151" t="s">
        <v>39</v>
      </c>
      <c r="E14" s="85" t="s">
        <v>40</v>
      </c>
      <c r="F14" s="86" t="s">
        <v>41</v>
      </c>
    </row>
    <row r="15" spans="1:6" x14ac:dyDescent="0.35">
      <c r="B15" s="151" t="s">
        <v>42</v>
      </c>
      <c r="E15" s="85" t="s">
        <v>43</v>
      </c>
      <c r="F15" s="86" t="s">
        <v>44</v>
      </c>
    </row>
    <row r="16" spans="1:6" x14ac:dyDescent="0.35">
      <c r="B16" s="151" t="s">
        <v>45</v>
      </c>
      <c r="E16" s="85" t="s">
        <v>46</v>
      </c>
      <c r="F16" s="86" t="s">
        <v>47</v>
      </c>
    </row>
    <row r="17" spans="1:7" x14ac:dyDescent="0.35">
      <c r="A17" s="150" t="s">
        <v>48</v>
      </c>
      <c r="B17" s="151" t="s">
        <v>49</v>
      </c>
    </row>
    <row r="18" spans="1:7" x14ac:dyDescent="0.35">
      <c r="B18" s="152" t="s">
        <v>50</v>
      </c>
      <c r="D18" s="150" t="s">
        <v>51</v>
      </c>
      <c r="E18" s="85" t="s">
        <v>52</v>
      </c>
    </row>
    <row r="19" spans="1:7" x14ac:dyDescent="0.35">
      <c r="B19" s="151" t="s">
        <v>53</v>
      </c>
      <c r="E19" s="85" t="s">
        <v>54</v>
      </c>
    </row>
    <row r="20" spans="1:7" x14ac:dyDescent="0.35">
      <c r="B20" s="151" t="s">
        <v>55</v>
      </c>
      <c r="E20" s="85"/>
    </row>
    <row r="21" spans="1:7" x14ac:dyDescent="0.35">
      <c r="B21" s="151" t="s">
        <v>56</v>
      </c>
      <c r="D21" s="150" t="s">
        <v>57</v>
      </c>
      <c r="E21" s="85" t="s">
        <v>52</v>
      </c>
    </row>
    <row r="22" spans="1:7" ht="15" customHeight="1" x14ac:dyDescent="0.35">
      <c r="B22" s="151" t="s">
        <v>58</v>
      </c>
      <c r="D22" s="150"/>
      <c r="E22" s="85" t="s">
        <v>54</v>
      </c>
    </row>
    <row r="23" spans="1:7" x14ac:dyDescent="0.35">
      <c r="B23" s="151" t="s">
        <v>59</v>
      </c>
      <c r="E23" s="85"/>
    </row>
    <row r="24" spans="1:7" x14ac:dyDescent="0.35">
      <c r="B24" s="151" t="s">
        <v>60</v>
      </c>
      <c r="D24" s="150" t="s">
        <v>61</v>
      </c>
      <c r="E24" s="85" t="s">
        <v>62</v>
      </c>
    </row>
    <row r="25" spans="1:7" x14ac:dyDescent="0.35">
      <c r="B25" s="151" t="s">
        <v>63</v>
      </c>
      <c r="D25" s="150"/>
      <c r="E25" s="85" t="s">
        <v>64</v>
      </c>
    </row>
    <row r="26" spans="1:7" x14ac:dyDescent="0.35">
      <c r="B26" s="151" t="s">
        <v>65</v>
      </c>
      <c r="E26" s="85" t="s">
        <v>54</v>
      </c>
    </row>
    <row r="27" spans="1:7" x14ac:dyDescent="0.35">
      <c r="A27" s="150" t="s">
        <v>66</v>
      </c>
      <c r="B27" s="151" t="s">
        <v>67</v>
      </c>
      <c r="D27" s="150" t="s">
        <v>68</v>
      </c>
      <c r="E27" s="85" t="s">
        <v>54</v>
      </c>
    </row>
    <row r="28" spans="1:7" x14ac:dyDescent="0.35">
      <c r="A28" s="150"/>
      <c r="B28" s="151" t="s">
        <v>69</v>
      </c>
      <c r="E28" s="85" t="s">
        <v>70</v>
      </c>
    </row>
    <row r="29" spans="1:7" x14ac:dyDescent="0.35">
      <c r="A29" s="150"/>
      <c r="B29" s="151" t="s">
        <v>71</v>
      </c>
      <c r="E29" s="85" t="s">
        <v>72</v>
      </c>
    </row>
    <row r="30" spans="1:7" x14ac:dyDescent="0.35">
      <c r="A30" s="150" t="s">
        <v>73</v>
      </c>
      <c r="B30" s="151" t="s">
        <v>74</v>
      </c>
      <c r="G30" s="150"/>
    </row>
    <row r="31" spans="1:7" x14ac:dyDescent="0.35">
      <c r="A31" s="150"/>
      <c r="B31" s="151" t="s">
        <v>75</v>
      </c>
      <c r="D31" s="150" t="s">
        <v>76</v>
      </c>
      <c r="E31" t="s">
        <v>77</v>
      </c>
      <c r="F31" s="153"/>
      <c r="G31" s="154"/>
    </row>
    <row r="32" spans="1:7" x14ac:dyDescent="0.35">
      <c r="A32" s="150" t="s">
        <v>78</v>
      </c>
      <c r="B32" s="151" t="s">
        <v>79</v>
      </c>
      <c r="E32" t="s">
        <v>80</v>
      </c>
      <c r="F32" s="153"/>
      <c r="G32" s="154"/>
    </row>
    <row r="33" spans="1:7" x14ac:dyDescent="0.35">
      <c r="A33" s="150"/>
      <c r="B33" s="151" t="s">
        <v>81</v>
      </c>
      <c r="E33" t="s">
        <v>82</v>
      </c>
      <c r="F33" s="153"/>
      <c r="G33" s="154"/>
    </row>
    <row r="34" spans="1:7" x14ac:dyDescent="0.35">
      <c r="A34" s="150"/>
      <c r="B34" s="151" t="s">
        <v>83</v>
      </c>
      <c r="E34" t="s">
        <v>84</v>
      </c>
      <c r="F34" s="153"/>
      <c r="G34" s="154"/>
    </row>
    <row r="35" spans="1:7" x14ac:dyDescent="0.35">
      <c r="A35" s="150"/>
      <c r="B35" s="151" t="s">
        <v>85</v>
      </c>
      <c r="E35" t="s">
        <v>86</v>
      </c>
      <c r="F35" s="153"/>
      <c r="G35" s="154"/>
    </row>
    <row r="36" spans="1:7" x14ac:dyDescent="0.35">
      <c r="A36" s="150" t="s">
        <v>87</v>
      </c>
      <c r="B36" s="151"/>
      <c r="E36" t="s">
        <v>88</v>
      </c>
      <c r="F36" s="153"/>
      <c r="G36" s="154"/>
    </row>
    <row r="37" spans="1:7" x14ac:dyDescent="0.35">
      <c r="A37" s="150"/>
      <c r="B37" s="151" t="s">
        <v>89</v>
      </c>
      <c r="E37" t="s">
        <v>90</v>
      </c>
      <c r="F37" s="153"/>
      <c r="G37" s="154"/>
    </row>
    <row r="38" spans="1:7" x14ac:dyDescent="0.35">
      <c r="A38" s="150"/>
      <c r="B38" s="151" t="s">
        <v>91</v>
      </c>
      <c r="E38" t="s">
        <v>92</v>
      </c>
      <c r="F38" s="153"/>
      <c r="G38" s="154"/>
    </row>
    <row r="39" spans="1:7" x14ac:dyDescent="0.35">
      <c r="A39" s="150" t="s">
        <v>93</v>
      </c>
      <c r="B39" s="151" t="s">
        <v>52</v>
      </c>
      <c r="E39" t="s">
        <v>94</v>
      </c>
      <c r="F39" s="153"/>
      <c r="G39" s="154"/>
    </row>
    <row r="40" spans="1:7" x14ac:dyDescent="0.35">
      <c r="B40" s="151" t="s">
        <v>95</v>
      </c>
      <c r="E40" t="s">
        <v>96</v>
      </c>
      <c r="F40" s="153"/>
      <c r="G40" s="154"/>
    </row>
    <row r="41" spans="1:7" x14ac:dyDescent="0.35">
      <c r="B41" s="151" t="s">
        <v>91</v>
      </c>
      <c r="E41" t="s">
        <v>97</v>
      </c>
      <c r="F41" s="153"/>
      <c r="G41" s="154"/>
    </row>
    <row r="42" spans="1:7" x14ac:dyDescent="0.35">
      <c r="E42" t="s">
        <v>98</v>
      </c>
      <c r="F42" s="153"/>
      <c r="G42" s="154"/>
    </row>
    <row r="43" spans="1:7" x14ac:dyDescent="0.35">
      <c r="E43" t="s">
        <v>99</v>
      </c>
      <c r="F43" s="153"/>
      <c r="G43" s="154"/>
    </row>
    <row r="44" spans="1:7" x14ac:dyDescent="0.35">
      <c r="E44" t="s">
        <v>100</v>
      </c>
      <c r="F44" s="153"/>
      <c r="G44" s="154"/>
    </row>
    <row r="45" spans="1:7" x14ac:dyDescent="0.35">
      <c r="B45" t="s">
        <v>101</v>
      </c>
      <c r="E45" t="s">
        <v>102</v>
      </c>
      <c r="F45" s="153"/>
      <c r="G45" s="154"/>
    </row>
    <row r="46" spans="1:7" x14ac:dyDescent="0.35">
      <c r="A46" s="150" t="s">
        <v>103</v>
      </c>
      <c r="B46" t="s">
        <v>104</v>
      </c>
      <c r="E46" t="s">
        <v>105</v>
      </c>
    </row>
    <row r="47" spans="1:7" x14ac:dyDescent="0.35">
      <c r="B47" t="s">
        <v>106</v>
      </c>
      <c r="D47" s="150" t="s">
        <v>107</v>
      </c>
      <c r="E47" t="s">
        <v>108</v>
      </c>
    </row>
    <row r="48" spans="1:7" x14ac:dyDescent="0.35">
      <c r="B48" t="s">
        <v>109</v>
      </c>
      <c r="E48" t="s">
        <v>110</v>
      </c>
    </row>
    <row r="49" spans="1:5" x14ac:dyDescent="0.35">
      <c r="B49" t="s">
        <v>111</v>
      </c>
      <c r="E49" t="s">
        <v>112</v>
      </c>
    </row>
    <row r="50" spans="1:5" x14ac:dyDescent="0.35">
      <c r="B50" t="s">
        <v>113</v>
      </c>
      <c r="E50" t="s">
        <v>114</v>
      </c>
    </row>
    <row r="51" spans="1:5" x14ac:dyDescent="0.35">
      <c r="E51" t="s">
        <v>115</v>
      </c>
    </row>
    <row r="53" spans="1:5" x14ac:dyDescent="0.35">
      <c r="B53" t="s">
        <v>116</v>
      </c>
      <c r="D53" t="s">
        <v>117</v>
      </c>
    </row>
    <row r="54" spans="1:5" x14ac:dyDescent="0.35">
      <c r="B54" t="s">
        <v>113</v>
      </c>
      <c r="D54" t="s">
        <v>118</v>
      </c>
    </row>
    <row r="55" spans="1:5" x14ac:dyDescent="0.35">
      <c r="B55" t="s">
        <v>119</v>
      </c>
    </row>
    <row r="57" spans="1:5" x14ac:dyDescent="0.35">
      <c r="A57" t="s">
        <v>120</v>
      </c>
      <c r="B57" s="300" t="s">
        <v>121</v>
      </c>
    </row>
    <row r="58" spans="1:5" x14ac:dyDescent="0.35">
      <c r="B58" t="s">
        <v>122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AV12"/>
  <sheetViews>
    <sheetView tabSelected="1" zoomScale="90" workbookViewId="0">
      <selection activeCell="A2" sqref="A2:A6"/>
    </sheetView>
  </sheetViews>
  <sheetFormatPr defaultColWidth="0" defaultRowHeight="15" customHeight="1" x14ac:dyDescent="0.35"/>
  <cols>
    <col min="1" max="4" width="20" style="176" bestFit="1" customWidth="1"/>
    <col min="5" max="5" width="13.453125" style="176" customWidth="1"/>
    <col min="6" max="6" width="20" style="176" bestFit="1" customWidth="1"/>
    <col min="7" max="7" width="34.81640625" style="176" bestFit="1" customWidth="1"/>
    <col min="8" max="8" width="20" style="176" bestFit="1" customWidth="1"/>
    <col min="9" max="9" width="40.7265625" style="176" customWidth="1"/>
    <col min="10" max="45" width="20" style="176" bestFit="1" customWidth="1"/>
    <col min="46" max="47" width="19" style="176" customWidth="1"/>
    <col min="48" max="48" width="18.26953125" style="176" customWidth="1"/>
    <col min="49" max="16384" width="0" style="176" hidden="1"/>
  </cols>
  <sheetData>
    <row r="1" spans="1:48" customFormat="1" ht="36.75" customHeight="1" x14ac:dyDescent="0.35">
      <c r="A1" t="s">
        <v>123</v>
      </c>
      <c r="B1" t="s">
        <v>124</v>
      </c>
      <c r="C1" t="s">
        <v>125</v>
      </c>
      <c r="D1" t="s">
        <v>126</v>
      </c>
      <c r="E1" t="s">
        <v>127</v>
      </c>
      <c r="F1" t="s">
        <v>128</v>
      </c>
      <c r="G1" t="s">
        <v>129</v>
      </c>
      <c r="H1" t="s">
        <v>130</v>
      </c>
      <c r="I1" t="s">
        <v>131</v>
      </c>
      <c r="J1" t="s">
        <v>132</v>
      </c>
      <c r="K1" t="s">
        <v>133</v>
      </c>
      <c r="L1" t="s">
        <v>134</v>
      </c>
      <c r="M1" t="s">
        <v>135</v>
      </c>
      <c r="N1" t="s">
        <v>136</v>
      </c>
      <c r="O1" t="s">
        <v>137</v>
      </c>
      <c r="P1" t="s">
        <v>138</v>
      </c>
      <c r="Q1" t="s">
        <v>139</v>
      </c>
      <c r="R1" t="s">
        <v>140</v>
      </c>
      <c r="S1" t="s">
        <v>141</v>
      </c>
      <c r="T1" t="s">
        <v>142</v>
      </c>
      <c r="U1" t="s">
        <v>143</v>
      </c>
      <c r="V1" t="s">
        <v>144</v>
      </c>
      <c r="W1" t="s">
        <v>145</v>
      </c>
      <c r="X1" t="s">
        <v>146</v>
      </c>
      <c r="Y1" t="s">
        <v>147</v>
      </c>
      <c r="Z1" t="s">
        <v>148</v>
      </c>
      <c r="AA1" t="s">
        <v>149</v>
      </c>
      <c r="AB1" t="s">
        <v>150</v>
      </c>
      <c r="AC1" t="s">
        <v>151</v>
      </c>
      <c r="AD1" t="s">
        <v>152</v>
      </c>
      <c r="AE1" t="s">
        <v>153</v>
      </c>
      <c r="AF1" t="s">
        <v>154</v>
      </c>
      <c r="AG1" t="s">
        <v>155</v>
      </c>
      <c r="AH1" t="s">
        <v>156</v>
      </c>
      <c r="AI1" t="s">
        <v>157</v>
      </c>
      <c r="AJ1" t="s">
        <v>158</v>
      </c>
      <c r="AK1" t="s">
        <v>159</v>
      </c>
      <c r="AL1" t="s">
        <v>160</v>
      </c>
      <c r="AM1" t="s">
        <v>161</v>
      </c>
      <c r="AN1" t="s">
        <v>162</v>
      </c>
      <c r="AO1" t="s">
        <v>163</v>
      </c>
      <c r="AP1" t="s">
        <v>164</v>
      </c>
      <c r="AQ1" t="s">
        <v>165</v>
      </c>
      <c r="AR1" t="s">
        <v>166</v>
      </c>
      <c r="AS1" t="s">
        <v>167</v>
      </c>
      <c r="AT1" t="s">
        <v>168</v>
      </c>
      <c r="AU1" t="s">
        <v>169</v>
      </c>
      <c r="AV1" s="180" t="s">
        <v>170</v>
      </c>
    </row>
    <row r="2" spans="1:48" ht="15" customHeight="1" x14ac:dyDescent="0.35">
      <c r="A2" s="176">
        <v>34</v>
      </c>
      <c r="B2" s="176">
        <v>46094.707060185203</v>
      </c>
      <c r="C2" s="176">
        <v>46094.787835648203</v>
      </c>
      <c r="D2" s="178" t="s">
        <v>171</v>
      </c>
      <c r="E2" s="178"/>
      <c r="F2" s="178" t="s">
        <v>172</v>
      </c>
      <c r="G2" s="178" t="s">
        <v>473</v>
      </c>
      <c r="H2" s="458">
        <v>46094</v>
      </c>
      <c r="I2" s="178" t="s">
        <v>211</v>
      </c>
      <c r="J2" s="178"/>
      <c r="K2" s="176">
        <v>120000</v>
      </c>
      <c r="L2" s="178"/>
      <c r="M2" s="178" t="s">
        <v>197</v>
      </c>
      <c r="N2" s="178" t="s">
        <v>200</v>
      </c>
      <c r="O2" s="178" t="s">
        <v>212</v>
      </c>
      <c r="P2" s="178" t="s">
        <v>207</v>
      </c>
      <c r="Q2" s="178" t="s">
        <v>213</v>
      </c>
      <c r="R2" s="176">
        <v>83530</v>
      </c>
      <c r="S2" s="178" t="s">
        <v>194</v>
      </c>
      <c r="T2" s="178" t="s">
        <v>91</v>
      </c>
      <c r="U2" s="176">
        <v>83530</v>
      </c>
      <c r="V2" s="178" t="s">
        <v>214</v>
      </c>
      <c r="W2" s="176">
        <v>5640</v>
      </c>
      <c r="X2" s="178" t="s">
        <v>215</v>
      </c>
      <c r="Y2" s="176">
        <v>11000</v>
      </c>
      <c r="Z2" s="178"/>
      <c r="AA2" s="178"/>
      <c r="AB2" s="178"/>
      <c r="AD2" s="176">
        <v>0</v>
      </c>
      <c r="AE2" s="178" t="s">
        <v>216</v>
      </c>
      <c r="AF2" s="176">
        <v>144000</v>
      </c>
      <c r="AG2" s="178" t="s">
        <v>217</v>
      </c>
      <c r="AH2" s="176">
        <v>167060</v>
      </c>
      <c r="AI2" s="179" t="s">
        <v>181</v>
      </c>
      <c r="AJ2" s="179" t="s">
        <v>191</v>
      </c>
      <c r="AK2" s="178" t="s">
        <v>218</v>
      </c>
      <c r="AL2" s="178" t="s">
        <v>219</v>
      </c>
      <c r="AM2" s="178" t="s">
        <v>220</v>
      </c>
      <c r="AN2" s="178" t="s">
        <v>91</v>
      </c>
      <c r="AO2" s="178" t="s">
        <v>221</v>
      </c>
      <c r="AP2" s="178" t="s">
        <v>222</v>
      </c>
      <c r="AQ2" s="178" t="s">
        <v>91</v>
      </c>
      <c r="AR2" s="178" t="s">
        <v>223</v>
      </c>
      <c r="AS2" s="178" t="s">
        <v>224</v>
      </c>
      <c r="AV2" s="178"/>
    </row>
    <row r="3" spans="1:48" ht="15" customHeight="1" x14ac:dyDescent="0.35">
      <c r="A3" s="176">
        <v>34</v>
      </c>
      <c r="B3" s="176">
        <v>46097.459386574097</v>
      </c>
      <c r="C3" s="176">
        <v>46097.480868055602</v>
      </c>
      <c r="D3" s="178" t="s">
        <v>171</v>
      </c>
      <c r="E3" s="178"/>
      <c r="F3" s="178" t="s">
        <v>172</v>
      </c>
      <c r="G3" s="178" t="s">
        <v>474</v>
      </c>
      <c r="H3" s="458">
        <v>46097</v>
      </c>
      <c r="I3" s="178" t="s">
        <v>225</v>
      </c>
      <c r="J3" s="178"/>
      <c r="K3" s="176">
        <v>55000</v>
      </c>
      <c r="L3" s="178"/>
      <c r="M3" s="178" t="s">
        <v>226</v>
      </c>
      <c r="N3" s="178" t="s">
        <v>173</v>
      </c>
      <c r="O3" s="178" t="s">
        <v>227</v>
      </c>
      <c r="P3" s="178" t="s">
        <v>228</v>
      </c>
      <c r="Q3" s="178" t="s">
        <v>229</v>
      </c>
      <c r="R3" s="176">
        <v>45500</v>
      </c>
      <c r="S3" s="178" t="s">
        <v>194</v>
      </c>
      <c r="T3" s="178" t="s">
        <v>91</v>
      </c>
      <c r="U3" s="176">
        <v>0</v>
      </c>
      <c r="V3" s="178" t="s">
        <v>230</v>
      </c>
      <c r="W3" s="176">
        <v>2500</v>
      </c>
      <c r="X3" s="178" t="s">
        <v>91</v>
      </c>
      <c r="Y3" s="176">
        <v>0</v>
      </c>
      <c r="Z3" s="178"/>
      <c r="AA3" s="178"/>
      <c r="AB3" s="178"/>
      <c r="AD3" s="176">
        <v>0</v>
      </c>
      <c r="AE3" s="178" t="s">
        <v>91</v>
      </c>
      <c r="AF3" s="176">
        <v>0</v>
      </c>
      <c r="AG3" s="178" t="s">
        <v>231</v>
      </c>
      <c r="AH3" s="176">
        <v>24735.56</v>
      </c>
      <c r="AI3" s="179" t="s">
        <v>188</v>
      </c>
      <c r="AJ3" s="179" t="s">
        <v>91</v>
      </c>
      <c r="AK3" s="178" t="s">
        <v>232</v>
      </c>
      <c r="AL3" s="179" t="s">
        <v>191</v>
      </c>
      <c r="AM3" s="179" t="s">
        <v>191</v>
      </c>
      <c r="AN3" s="179" t="s">
        <v>191</v>
      </c>
      <c r="AO3" s="178" t="s">
        <v>233</v>
      </c>
      <c r="AP3" s="178" t="s">
        <v>234</v>
      </c>
      <c r="AQ3" s="178" t="s">
        <v>91</v>
      </c>
      <c r="AR3" s="179" t="s">
        <v>191</v>
      </c>
      <c r="AS3" s="178"/>
      <c r="AV3" s="178"/>
    </row>
    <row r="4" spans="1:48" ht="15" customHeight="1" x14ac:dyDescent="0.35">
      <c r="A4" s="176">
        <v>34</v>
      </c>
      <c r="B4" s="176">
        <v>46104.409814814797</v>
      </c>
      <c r="C4" s="176">
        <v>46104.4124421296</v>
      </c>
      <c r="D4" s="178" t="s">
        <v>171</v>
      </c>
      <c r="E4" s="178"/>
      <c r="F4" s="178" t="s">
        <v>172</v>
      </c>
      <c r="G4" s="178" t="s">
        <v>475</v>
      </c>
      <c r="H4" s="458">
        <v>46104</v>
      </c>
      <c r="I4" s="178" t="s">
        <v>235</v>
      </c>
      <c r="J4" s="178"/>
      <c r="K4" s="176">
        <v>180000</v>
      </c>
      <c r="L4" s="178"/>
      <c r="M4" s="178" t="s">
        <v>174</v>
      </c>
      <c r="N4" s="178" t="s">
        <v>200</v>
      </c>
      <c r="O4" s="178" t="s">
        <v>205</v>
      </c>
      <c r="P4" s="178" t="s">
        <v>207</v>
      </c>
      <c r="Q4" s="178" t="s">
        <v>206</v>
      </c>
      <c r="R4" s="459">
        <v>90000</v>
      </c>
      <c r="S4" s="178" t="s">
        <v>194</v>
      </c>
      <c r="T4" s="178"/>
      <c r="V4" s="178">
        <v>0</v>
      </c>
      <c r="W4" s="176">
        <v>0</v>
      </c>
      <c r="X4" s="178">
        <v>0</v>
      </c>
      <c r="Y4" s="176">
        <v>0</v>
      </c>
      <c r="Z4" s="178"/>
      <c r="AA4" s="178"/>
      <c r="AB4" s="178"/>
      <c r="AD4" s="176">
        <v>0</v>
      </c>
      <c r="AE4" s="178" t="s">
        <v>236</v>
      </c>
      <c r="AG4" s="178"/>
      <c r="AH4" s="176">
        <v>0</v>
      </c>
      <c r="AI4" s="179" t="s">
        <v>191</v>
      </c>
      <c r="AJ4" s="179" t="s">
        <v>191</v>
      </c>
      <c r="AK4" s="179" t="s">
        <v>191</v>
      </c>
      <c r="AL4" s="179" t="s">
        <v>191</v>
      </c>
      <c r="AM4" s="179" t="s">
        <v>191</v>
      </c>
      <c r="AN4" s="179" t="s">
        <v>191</v>
      </c>
      <c r="AO4" s="179" t="s">
        <v>191</v>
      </c>
      <c r="AP4" s="179" t="s">
        <v>191</v>
      </c>
      <c r="AQ4" s="179" t="s">
        <v>191</v>
      </c>
      <c r="AR4" s="179" t="s">
        <v>191</v>
      </c>
      <c r="AS4" s="178"/>
      <c r="AV4" s="178"/>
    </row>
    <row r="5" spans="1:48" ht="15" customHeight="1" x14ac:dyDescent="0.35">
      <c r="A5" s="176">
        <v>34</v>
      </c>
      <c r="B5" s="176">
        <v>46105.328229166698</v>
      </c>
      <c r="C5" s="176">
        <v>46105.343738425901</v>
      </c>
      <c r="D5" s="178" t="s">
        <v>171</v>
      </c>
      <c r="E5" s="178"/>
      <c r="F5" s="178" t="s">
        <v>172</v>
      </c>
      <c r="G5" s="178" t="s">
        <v>476</v>
      </c>
      <c r="H5" s="458">
        <v>46105</v>
      </c>
      <c r="I5" s="178" t="s">
        <v>237</v>
      </c>
      <c r="J5" s="178"/>
      <c r="K5" s="176">
        <v>45000</v>
      </c>
      <c r="L5" s="178"/>
      <c r="M5" s="178" t="s">
        <v>197</v>
      </c>
      <c r="N5" s="178" t="s">
        <v>186</v>
      </c>
      <c r="O5" s="178" t="s">
        <v>209</v>
      </c>
      <c r="P5" s="178" t="s">
        <v>199</v>
      </c>
      <c r="Q5" s="178" t="s">
        <v>210</v>
      </c>
      <c r="R5" s="176">
        <v>45000</v>
      </c>
      <c r="S5" s="178" t="s">
        <v>198</v>
      </c>
      <c r="T5" s="178" t="s">
        <v>238</v>
      </c>
      <c r="U5" s="176">
        <v>30000</v>
      </c>
      <c r="V5" s="178" t="s">
        <v>91</v>
      </c>
      <c r="W5" s="176">
        <v>0</v>
      </c>
      <c r="X5" s="178" t="s">
        <v>193</v>
      </c>
      <c r="Y5" s="176">
        <v>0</v>
      </c>
      <c r="Z5" s="178"/>
      <c r="AA5" s="178"/>
      <c r="AB5" s="178"/>
      <c r="AD5" s="176">
        <v>0</v>
      </c>
      <c r="AE5" s="178">
        <v>180000</v>
      </c>
      <c r="AF5" s="176">
        <v>180000</v>
      </c>
      <c r="AG5" s="178" t="s">
        <v>193</v>
      </c>
      <c r="AH5" s="176">
        <v>0</v>
      </c>
      <c r="AI5" s="179"/>
      <c r="AJ5" s="179"/>
      <c r="AK5" s="179"/>
      <c r="AL5" s="179"/>
      <c r="AM5" s="179"/>
      <c r="AN5" s="179"/>
      <c r="AO5" s="179"/>
      <c r="AP5" s="179"/>
      <c r="AQ5" s="179"/>
      <c r="AR5" s="179"/>
      <c r="AS5" s="178"/>
      <c r="AV5" s="178"/>
    </row>
    <row r="6" spans="1:48" ht="15" customHeight="1" x14ac:dyDescent="0.35">
      <c r="A6" s="176">
        <v>34</v>
      </c>
      <c r="B6" s="176">
        <v>46129.722800925898</v>
      </c>
      <c r="C6" s="176">
        <v>46129.750752314802</v>
      </c>
      <c r="D6" s="178" t="s">
        <v>171</v>
      </c>
      <c r="E6" s="178"/>
      <c r="F6" s="178" t="s">
        <v>172</v>
      </c>
      <c r="G6" s="178" t="s">
        <v>477</v>
      </c>
      <c r="H6" s="458">
        <v>46129</v>
      </c>
      <c r="I6" s="178" t="s">
        <v>239</v>
      </c>
      <c r="J6" s="178"/>
      <c r="K6" s="176">
        <v>35000</v>
      </c>
      <c r="L6" s="178"/>
      <c r="M6" s="178" t="s">
        <v>174</v>
      </c>
      <c r="N6" s="178" t="s">
        <v>175</v>
      </c>
      <c r="O6" s="178" t="s">
        <v>240</v>
      </c>
      <c r="P6" s="178" t="s">
        <v>241</v>
      </c>
      <c r="Q6" s="178" t="s">
        <v>242</v>
      </c>
      <c r="R6" s="176">
        <v>25000</v>
      </c>
      <c r="S6" s="178" t="s">
        <v>187</v>
      </c>
      <c r="T6" s="178" t="s">
        <v>178</v>
      </c>
      <c r="U6" s="176">
        <v>10000</v>
      </c>
      <c r="V6" s="178" t="s">
        <v>243</v>
      </c>
      <c r="W6" s="176">
        <v>3600</v>
      </c>
      <c r="X6" s="178" t="s">
        <v>208</v>
      </c>
      <c r="Y6" s="176">
        <v>2500</v>
      </c>
      <c r="Z6" s="178"/>
      <c r="AA6" s="178"/>
      <c r="AB6" s="178"/>
      <c r="AD6" s="176">
        <v>0</v>
      </c>
      <c r="AE6" s="178" t="s">
        <v>189</v>
      </c>
      <c r="AF6" s="176">
        <v>0</v>
      </c>
      <c r="AG6" s="178" t="s">
        <v>189</v>
      </c>
      <c r="AH6" s="176">
        <v>0</v>
      </c>
      <c r="AI6" s="179" t="s">
        <v>244</v>
      </c>
      <c r="AJ6" s="179"/>
      <c r="AK6" s="179" t="s">
        <v>182</v>
      </c>
      <c r="AL6" s="179"/>
      <c r="AM6" s="179"/>
      <c r="AN6" s="179"/>
      <c r="AO6" s="179" t="s">
        <v>190</v>
      </c>
      <c r="AP6" s="179" t="s">
        <v>190</v>
      </c>
      <c r="AQ6" s="179"/>
      <c r="AR6" s="179"/>
      <c r="AS6" s="178"/>
      <c r="AV6" s="178"/>
    </row>
    <row r="7" spans="1:48" ht="15" customHeight="1" x14ac:dyDescent="0.35">
      <c r="A7" s="176">
        <v>39</v>
      </c>
      <c r="B7" s="176">
        <v>46202.589166666701</v>
      </c>
      <c r="C7" s="176">
        <v>46202.601712962998</v>
      </c>
      <c r="D7" s="178" t="s">
        <v>171</v>
      </c>
      <c r="E7" s="178"/>
      <c r="F7" s="178" t="s">
        <v>172</v>
      </c>
      <c r="G7" s="178" t="s">
        <v>478</v>
      </c>
      <c r="H7" s="458">
        <v>46202</v>
      </c>
      <c r="I7" s="178" t="s">
        <v>245</v>
      </c>
      <c r="J7" s="178"/>
      <c r="K7" s="176">
        <v>65000</v>
      </c>
      <c r="L7" s="178"/>
      <c r="M7" s="178" t="s">
        <v>174</v>
      </c>
      <c r="N7" s="178" t="s">
        <v>200</v>
      </c>
      <c r="O7" s="178" t="s">
        <v>246</v>
      </c>
      <c r="P7" s="178" t="s">
        <v>177</v>
      </c>
      <c r="Q7" s="178" t="s">
        <v>247</v>
      </c>
      <c r="R7" s="176">
        <v>60000</v>
      </c>
      <c r="S7" s="178" t="s">
        <v>198</v>
      </c>
      <c r="T7" s="178" t="s">
        <v>248</v>
      </c>
      <c r="U7" s="176">
        <v>60000</v>
      </c>
      <c r="V7" s="178" t="s">
        <v>249</v>
      </c>
      <c r="W7" s="176">
        <v>25000</v>
      </c>
      <c r="X7" s="178" t="s">
        <v>91</v>
      </c>
      <c r="Y7" s="176">
        <v>0</v>
      </c>
      <c r="Z7" s="178"/>
      <c r="AA7" s="178"/>
      <c r="AB7" s="178"/>
      <c r="AD7" s="176">
        <v>0</v>
      </c>
      <c r="AE7" s="178" t="s">
        <v>250</v>
      </c>
      <c r="AF7" s="176">
        <v>10000</v>
      </c>
      <c r="AG7" s="178" t="s">
        <v>91</v>
      </c>
      <c r="AH7" s="176">
        <v>0</v>
      </c>
      <c r="AI7" s="179" t="s">
        <v>251</v>
      </c>
      <c r="AJ7" s="179" t="s">
        <v>251</v>
      </c>
      <c r="AK7" s="179" t="s">
        <v>180</v>
      </c>
      <c r="AL7" s="179" t="s">
        <v>252</v>
      </c>
      <c r="AM7" s="179" t="s">
        <v>91</v>
      </c>
      <c r="AN7" s="179" t="s">
        <v>91</v>
      </c>
      <c r="AO7" s="179" t="s">
        <v>253</v>
      </c>
      <c r="AP7" s="179" t="s">
        <v>203</v>
      </c>
      <c r="AQ7" s="179" t="s">
        <v>254</v>
      </c>
      <c r="AR7" s="179" t="s">
        <v>255</v>
      </c>
      <c r="AS7" s="178" t="s">
        <v>256</v>
      </c>
      <c r="AT7" s="176" t="s">
        <v>257</v>
      </c>
      <c r="AU7" s="176" t="s">
        <v>258</v>
      </c>
      <c r="AV7" s="178"/>
    </row>
    <row r="8" spans="1:48" ht="15" customHeight="1" x14ac:dyDescent="0.35">
      <c r="A8" s="176">
        <v>40</v>
      </c>
      <c r="B8" s="176">
        <v>46224.478032407402</v>
      </c>
      <c r="C8" s="176">
        <v>46224.497453703698</v>
      </c>
      <c r="D8" s="178" t="s">
        <v>171</v>
      </c>
      <c r="E8" s="178"/>
      <c r="F8" s="178" t="s">
        <v>172</v>
      </c>
      <c r="G8" s="178" t="s">
        <v>479</v>
      </c>
      <c r="H8" s="458">
        <v>46224</v>
      </c>
      <c r="I8" s="178" t="s">
        <v>259</v>
      </c>
      <c r="J8" s="178"/>
      <c r="K8" s="176">
        <v>75000</v>
      </c>
      <c r="L8" s="178"/>
      <c r="M8" s="178" t="s">
        <v>174</v>
      </c>
      <c r="N8" s="178" t="s">
        <v>192</v>
      </c>
      <c r="O8" s="178" t="s">
        <v>260</v>
      </c>
      <c r="P8" s="178" t="s">
        <v>184</v>
      </c>
      <c r="Q8" s="178" t="s">
        <v>261</v>
      </c>
      <c r="R8" s="176">
        <v>56450</v>
      </c>
      <c r="S8" s="178" t="s">
        <v>194</v>
      </c>
      <c r="T8" s="178" t="s">
        <v>262</v>
      </c>
      <c r="U8" s="176">
        <v>60000</v>
      </c>
      <c r="V8" s="178" t="s">
        <v>263</v>
      </c>
      <c r="W8" s="176">
        <v>3550</v>
      </c>
      <c r="X8" s="178" t="s">
        <v>91</v>
      </c>
      <c r="Y8" s="176">
        <v>0</v>
      </c>
      <c r="Z8" s="178"/>
      <c r="AA8" s="178"/>
      <c r="AB8" s="178"/>
      <c r="AD8" s="176">
        <v>0</v>
      </c>
      <c r="AE8" s="178" t="s">
        <v>91</v>
      </c>
      <c r="AF8" s="176">
        <v>0</v>
      </c>
      <c r="AG8" s="178">
        <v>0</v>
      </c>
      <c r="AH8" s="176">
        <v>0</v>
      </c>
      <c r="AI8" s="179" t="s">
        <v>204</v>
      </c>
      <c r="AJ8" s="179" t="s">
        <v>191</v>
      </c>
      <c r="AK8" s="179" t="s">
        <v>182</v>
      </c>
      <c r="AL8" s="179" t="s">
        <v>264</v>
      </c>
      <c r="AM8" s="179" t="s">
        <v>264</v>
      </c>
      <c r="AN8" s="179" t="s">
        <v>191</v>
      </c>
      <c r="AO8" s="179" t="s">
        <v>265</v>
      </c>
      <c r="AP8" s="179" t="s">
        <v>266</v>
      </c>
      <c r="AQ8" s="179" t="s">
        <v>191</v>
      </c>
      <c r="AR8" s="179" t="s">
        <v>191</v>
      </c>
      <c r="AS8" s="178" t="s">
        <v>267</v>
      </c>
      <c r="AT8" s="177" t="s">
        <v>191</v>
      </c>
      <c r="AU8" s="177" t="s">
        <v>191</v>
      </c>
      <c r="AV8" s="178"/>
    </row>
    <row r="9" spans="1:48" ht="15" customHeight="1" x14ac:dyDescent="0.35">
      <c r="A9" s="176">
        <v>41</v>
      </c>
      <c r="B9" s="176">
        <v>46224.533090277801</v>
      </c>
      <c r="C9" s="176">
        <v>46224.552905092598</v>
      </c>
      <c r="D9" s="178" t="s">
        <v>171</v>
      </c>
      <c r="E9" s="178"/>
      <c r="F9" s="178" t="s">
        <v>172</v>
      </c>
      <c r="G9" s="178" t="s">
        <v>480</v>
      </c>
      <c r="H9" s="458">
        <v>46224</v>
      </c>
      <c r="I9" s="178" t="s">
        <v>268</v>
      </c>
      <c r="J9" s="178"/>
      <c r="K9" s="176">
        <v>60000</v>
      </c>
      <c r="L9" s="178"/>
      <c r="M9" s="178" t="s">
        <v>197</v>
      </c>
      <c r="N9" s="178" t="s">
        <v>192</v>
      </c>
      <c r="O9" s="178" t="s">
        <v>269</v>
      </c>
      <c r="P9" s="178" t="s">
        <v>176</v>
      </c>
      <c r="Q9" s="178" t="s">
        <v>270</v>
      </c>
      <c r="R9" s="176">
        <v>25000</v>
      </c>
      <c r="S9" s="178" t="s">
        <v>194</v>
      </c>
      <c r="T9" s="178" t="s">
        <v>91</v>
      </c>
      <c r="U9" s="176">
        <v>0</v>
      </c>
      <c r="V9" s="178" t="s">
        <v>271</v>
      </c>
      <c r="W9" s="176">
        <v>1250</v>
      </c>
      <c r="X9" s="178" t="s">
        <v>272</v>
      </c>
      <c r="Y9" s="176">
        <v>1500</v>
      </c>
      <c r="Z9" s="178"/>
      <c r="AA9" s="178"/>
      <c r="AB9" s="178"/>
      <c r="AD9" s="176">
        <v>25000</v>
      </c>
      <c r="AE9" s="178" t="s">
        <v>91</v>
      </c>
      <c r="AF9" s="176">
        <v>0</v>
      </c>
      <c r="AG9" s="178" t="s">
        <v>91</v>
      </c>
      <c r="AH9" s="176">
        <v>0</v>
      </c>
      <c r="AI9" s="179" t="s">
        <v>273</v>
      </c>
      <c r="AJ9" s="179" t="s">
        <v>273</v>
      </c>
      <c r="AK9" s="179" t="s">
        <v>274</v>
      </c>
      <c r="AL9" s="179" t="s">
        <v>275</v>
      </c>
      <c r="AM9" s="179" t="s">
        <v>276</v>
      </c>
      <c r="AN9" s="179" t="s">
        <v>91</v>
      </c>
      <c r="AO9" s="179" t="s">
        <v>277</v>
      </c>
      <c r="AP9" s="179" t="s">
        <v>278</v>
      </c>
      <c r="AQ9" s="179" t="s">
        <v>91</v>
      </c>
      <c r="AR9" s="179" t="s">
        <v>91</v>
      </c>
      <c r="AS9" s="178" t="s">
        <v>91</v>
      </c>
      <c r="AT9" s="176" t="s">
        <v>91</v>
      </c>
      <c r="AU9" s="176" t="s">
        <v>91</v>
      </c>
      <c r="AV9" s="178"/>
    </row>
    <row r="10" spans="1:48" ht="15" customHeight="1" x14ac:dyDescent="0.35">
      <c r="A10" s="176">
        <v>42</v>
      </c>
      <c r="B10" s="176">
        <v>46227.628240740698</v>
      </c>
      <c r="C10" s="176">
        <v>46227.637407407397</v>
      </c>
      <c r="D10" s="178" t="s">
        <v>171</v>
      </c>
      <c r="E10" s="178"/>
      <c r="F10" s="178" t="s">
        <v>172</v>
      </c>
      <c r="G10" s="178" t="s">
        <v>481</v>
      </c>
      <c r="H10" s="458">
        <v>46227</v>
      </c>
      <c r="I10" s="178" t="s">
        <v>279</v>
      </c>
      <c r="J10" s="178"/>
      <c r="K10" s="176">
        <v>140000</v>
      </c>
      <c r="L10" s="178"/>
      <c r="M10" s="178" t="s">
        <v>197</v>
      </c>
      <c r="N10" s="178" t="s">
        <v>186</v>
      </c>
      <c r="O10" s="178" t="s">
        <v>280</v>
      </c>
      <c r="P10" s="178" t="s">
        <v>199</v>
      </c>
      <c r="Q10" s="178" t="s">
        <v>281</v>
      </c>
      <c r="R10" s="176">
        <v>85079.63</v>
      </c>
      <c r="S10" s="178" t="s">
        <v>194</v>
      </c>
      <c r="T10" s="178" t="s">
        <v>91</v>
      </c>
      <c r="U10" s="176">
        <v>0</v>
      </c>
      <c r="V10" s="178" t="s">
        <v>282</v>
      </c>
      <c r="W10" s="176">
        <v>6000</v>
      </c>
      <c r="X10" s="178" t="s">
        <v>179</v>
      </c>
      <c r="Y10" s="176">
        <v>8000</v>
      </c>
      <c r="Z10" s="178"/>
      <c r="AA10" s="178"/>
      <c r="AB10" s="178"/>
      <c r="AD10" s="176">
        <v>0</v>
      </c>
      <c r="AE10" s="178" t="s">
        <v>283</v>
      </c>
      <c r="AF10" s="176">
        <v>320000</v>
      </c>
      <c r="AG10" s="178" t="s">
        <v>91</v>
      </c>
      <c r="AH10" s="176">
        <v>0</v>
      </c>
      <c r="AI10" s="179" t="s">
        <v>284</v>
      </c>
      <c r="AJ10" s="179" t="s">
        <v>285</v>
      </c>
      <c r="AK10" s="179" t="s">
        <v>182</v>
      </c>
      <c r="AL10" s="179" t="s">
        <v>91</v>
      </c>
      <c r="AM10" s="179" t="s">
        <v>286</v>
      </c>
      <c r="AN10" s="179" t="s">
        <v>91</v>
      </c>
      <c r="AO10" s="179" t="s">
        <v>287</v>
      </c>
      <c r="AP10" s="179" t="s">
        <v>288</v>
      </c>
      <c r="AQ10" s="179" t="s">
        <v>91</v>
      </c>
      <c r="AR10" s="179" t="s">
        <v>91</v>
      </c>
      <c r="AS10" s="178" t="s">
        <v>289</v>
      </c>
      <c r="AT10" s="176" t="s">
        <v>195</v>
      </c>
      <c r="AU10" s="176" t="s">
        <v>290</v>
      </c>
      <c r="AV10" s="178"/>
    </row>
    <row r="11" spans="1:48" ht="15" customHeight="1" x14ac:dyDescent="0.35">
      <c r="A11" s="176">
        <v>43</v>
      </c>
      <c r="B11" s="176">
        <v>46227.686967592599</v>
      </c>
      <c r="C11" s="176">
        <v>46227.731273148202</v>
      </c>
      <c r="D11" s="178" t="s">
        <v>171</v>
      </c>
      <c r="E11" s="178"/>
      <c r="F11" s="178" t="s">
        <v>172</v>
      </c>
      <c r="G11" s="178" t="s">
        <v>482</v>
      </c>
      <c r="H11" s="458">
        <v>46227</v>
      </c>
      <c r="I11" s="178" t="s">
        <v>291</v>
      </c>
      <c r="J11" s="178"/>
      <c r="K11" s="176">
        <v>90000</v>
      </c>
      <c r="L11" s="178"/>
      <c r="M11" s="178" t="s">
        <v>174</v>
      </c>
      <c r="N11" s="178" t="s">
        <v>186</v>
      </c>
      <c r="O11" s="178" t="s">
        <v>292</v>
      </c>
      <c r="P11" s="178" t="s">
        <v>199</v>
      </c>
      <c r="Q11" s="178" t="s">
        <v>293</v>
      </c>
      <c r="R11" s="176">
        <v>65000</v>
      </c>
      <c r="S11" s="178" t="s">
        <v>187</v>
      </c>
      <c r="T11" s="178" t="s">
        <v>294</v>
      </c>
      <c r="U11" s="176">
        <v>200000</v>
      </c>
      <c r="V11" s="178" t="s">
        <v>295</v>
      </c>
      <c r="W11" s="176">
        <v>53200</v>
      </c>
      <c r="X11" s="178" t="s">
        <v>296</v>
      </c>
      <c r="Y11" s="176">
        <v>100000</v>
      </c>
      <c r="Z11" s="178"/>
      <c r="AA11" s="178"/>
      <c r="AB11" s="178"/>
      <c r="AD11" s="176">
        <v>0</v>
      </c>
      <c r="AE11" s="178" t="s">
        <v>297</v>
      </c>
      <c r="AF11" s="176">
        <v>24000</v>
      </c>
      <c r="AG11" s="178" t="s">
        <v>91</v>
      </c>
      <c r="AH11" s="176">
        <v>0</v>
      </c>
      <c r="AI11" s="179" t="s">
        <v>202</v>
      </c>
      <c r="AJ11" s="179" t="s">
        <v>298</v>
      </c>
      <c r="AK11" s="179" t="s">
        <v>299</v>
      </c>
      <c r="AL11" s="179" t="s">
        <v>188</v>
      </c>
      <c r="AM11" s="179" t="s">
        <v>185</v>
      </c>
      <c r="AN11" s="179"/>
      <c r="AO11" s="179" t="s">
        <v>300</v>
      </c>
      <c r="AP11" s="179" t="s">
        <v>301</v>
      </c>
      <c r="AQ11" s="179"/>
      <c r="AR11" s="179"/>
      <c r="AS11" s="178"/>
      <c r="AT11" s="176" t="s">
        <v>302</v>
      </c>
      <c r="AU11" s="176" t="s">
        <v>303</v>
      </c>
      <c r="AV11" s="178"/>
    </row>
    <row r="12" spans="1:48" ht="15" customHeight="1" x14ac:dyDescent="0.35">
      <c r="A12" s="176">
        <v>44</v>
      </c>
      <c r="B12" s="176">
        <v>46229.965208333299</v>
      </c>
      <c r="C12" s="176">
        <v>46229.976365740702</v>
      </c>
      <c r="D12" s="178" t="s">
        <v>171</v>
      </c>
      <c r="E12" s="178"/>
      <c r="F12" s="178" t="s">
        <v>172</v>
      </c>
      <c r="G12" s="178" t="s">
        <v>483</v>
      </c>
      <c r="H12" s="458">
        <v>46229</v>
      </c>
      <c r="I12" s="178" t="s">
        <v>304</v>
      </c>
      <c r="J12" s="178"/>
      <c r="K12" s="176">
        <v>110000</v>
      </c>
      <c r="L12" s="178"/>
      <c r="M12" s="178" t="s">
        <v>174</v>
      </c>
      <c r="N12" s="178" t="s">
        <v>173</v>
      </c>
      <c r="O12" s="178" t="s">
        <v>305</v>
      </c>
      <c r="P12" s="178" t="s">
        <v>228</v>
      </c>
      <c r="Q12" s="178" t="s">
        <v>306</v>
      </c>
      <c r="R12" s="176">
        <v>85000</v>
      </c>
      <c r="S12" s="178" t="s">
        <v>194</v>
      </c>
      <c r="T12" s="178" t="s">
        <v>91</v>
      </c>
      <c r="U12" s="176">
        <v>0</v>
      </c>
      <c r="V12" s="178" t="s">
        <v>307</v>
      </c>
      <c r="W12" s="176">
        <v>0</v>
      </c>
      <c r="X12" s="178" t="s">
        <v>91</v>
      </c>
      <c r="Y12" s="176">
        <v>0</v>
      </c>
      <c r="Z12" s="178"/>
      <c r="AA12" s="178"/>
      <c r="AB12" s="178"/>
      <c r="AD12" s="176">
        <v>0</v>
      </c>
      <c r="AE12" s="178" t="s">
        <v>91</v>
      </c>
      <c r="AF12" s="176">
        <v>0</v>
      </c>
      <c r="AG12" s="178" t="s">
        <v>91</v>
      </c>
      <c r="AH12" s="176">
        <v>0</v>
      </c>
      <c r="AI12" s="179" t="s">
        <v>201</v>
      </c>
      <c r="AJ12" s="179" t="s">
        <v>308</v>
      </c>
      <c r="AK12" s="179"/>
      <c r="AL12" s="179"/>
      <c r="AM12" s="179" t="s">
        <v>309</v>
      </c>
      <c r="AN12" s="179" t="s">
        <v>310</v>
      </c>
      <c r="AO12" s="179" t="s">
        <v>311</v>
      </c>
      <c r="AP12" s="179" t="s">
        <v>203</v>
      </c>
      <c r="AQ12" s="179" t="s">
        <v>312</v>
      </c>
      <c r="AR12" s="179" t="s">
        <v>183</v>
      </c>
      <c r="AS12" s="178" t="s">
        <v>313</v>
      </c>
      <c r="AV12" s="178"/>
    </row>
  </sheetData>
  <phoneticPr fontId="80"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D1AEF-86B4-424B-BB3C-BCF5A3A854CB}">
  <sheetPr>
    <tabColor theme="8" tint="-0.249977111117893"/>
  </sheetPr>
  <dimension ref="A1:B27"/>
  <sheetViews>
    <sheetView showGridLines="0" zoomScaleNormal="100" workbookViewId="0">
      <selection activeCell="B5" sqref="B5"/>
    </sheetView>
  </sheetViews>
  <sheetFormatPr defaultRowHeight="13" x14ac:dyDescent="0.35"/>
  <cols>
    <col min="1" max="1" width="43.7265625" style="94" bestFit="1" customWidth="1"/>
    <col min="2" max="2" width="79" style="94" customWidth="1"/>
    <col min="3" max="255" width="8.7265625" style="94"/>
    <col min="256" max="256" width="3.7265625" style="94" customWidth="1"/>
    <col min="257" max="257" width="31.26953125" style="94" customWidth="1"/>
    <col min="258" max="258" width="79" style="94" customWidth="1"/>
    <col min="259" max="511" width="8.7265625" style="94"/>
    <col min="512" max="512" width="3.7265625" style="94" customWidth="1"/>
    <col min="513" max="513" width="31.26953125" style="94" customWidth="1"/>
    <col min="514" max="514" width="79" style="94" customWidth="1"/>
    <col min="515" max="767" width="8.7265625" style="94"/>
    <col min="768" max="768" width="3.7265625" style="94" customWidth="1"/>
    <col min="769" max="769" width="31.26953125" style="94" customWidth="1"/>
    <col min="770" max="770" width="79" style="94" customWidth="1"/>
    <col min="771" max="1023" width="8.7265625" style="94"/>
    <col min="1024" max="1024" width="3.7265625" style="94" customWidth="1"/>
    <col min="1025" max="1025" width="31.26953125" style="94" customWidth="1"/>
    <col min="1026" max="1026" width="79" style="94" customWidth="1"/>
    <col min="1027" max="1279" width="8.7265625" style="94"/>
    <col min="1280" max="1280" width="3.7265625" style="94" customWidth="1"/>
    <col min="1281" max="1281" width="31.26953125" style="94" customWidth="1"/>
    <col min="1282" max="1282" width="79" style="94" customWidth="1"/>
    <col min="1283" max="1535" width="8.7265625" style="94"/>
    <col min="1536" max="1536" width="3.7265625" style="94" customWidth="1"/>
    <col min="1537" max="1537" width="31.26953125" style="94" customWidth="1"/>
    <col min="1538" max="1538" width="79" style="94" customWidth="1"/>
    <col min="1539" max="1791" width="8.7265625" style="94"/>
    <col min="1792" max="1792" width="3.7265625" style="94" customWidth="1"/>
    <col min="1793" max="1793" width="31.26953125" style="94" customWidth="1"/>
    <col min="1794" max="1794" width="79" style="94" customWidth="1"/>
    <col min="1795" max="2047" width="8.7265625" style="94"/>
    <col min="2048" max="2048" width="3.7265625" style="94" customWidth="1"/>
    <col min="2049" max="2049" width="31.26953125" style="94" customWidth="1"/>
    <col min="2050" max="2050" width="79" style="94" customWidth="1"/>
    <col min="2051" max="2303" width="8.7265625" style="94"/>
    <col min="2304" max="2304" width="3.7265625" style="94" customWidth="1"/>
    <col min="2305" max="2305" width="31.26953125" style="94" customWidth="1"/>
    <col min="2306" max="2306" width="79" style="94" customWidth="1"/>
    <col min="2307" max="2559" width="8.7265625" style="94"/>
    <col min="2560" max="2560" width="3.7265625" style="94" customWidth="1"/>
    <col min="2561" max="2561" width="31.26953125" style="94" customWidth="1"/>
    <col min="2562" max="2562" width="79" style="94" customWidth="1"/>
    <col min="2563" max="2815" width="8.7265625" style="94"/>
    <col min="2816" max="2816" width="3.7265625" style="94" customWidth="1"/>
    <col min="2817" max="2817" width="31.26953125" style="94" customWidth="1"/>
    <col min="2818" max="2818" width="79" style="94" customWidth="1"/>
    <col min="2819" max="3071" width="8.7265625" style="94"/>
    <col min="3072" max="3072" width="3.7265625" style="94" customWidth="1"/>
    <col min="3073" max="3073" width="31.26953125" style="94" customWidth="1"/>
    <col min="3074" max="3074" width="79" style="94" customWidth="1"/>
    <col min="3075" max="3327" width="8.7265625" style="94"/>
    <col min="3328" max="3328" width="3.7265625" style="94" customWidth="1"/>
    <col min="3329" max="3329" width="31.26953125" style="94" customWidth="1"/>
    <col min="3330" max="3330" width="79" style="94" customWidth="1"/>
    <col min="3331" max="3583" width="8.7265625" style="94"/>
    <col min="3584" max="3584" width="3.7265625" style="94" customWidth="1"/>
    <col min="3585" max="3585" width="31.26953125" style="94" customWidth="1"/>
    <col min="3586" max="3586" width="79" style="94" customWidth="1"/>
    <col min="3587" max="3839" width="8.7265625" style="94"/>
    <col min="3840" max="3840" width="3.7265625" style="94" customWidth="1"/>
    <col min="3841" max="3841" width="31.26953125" style="94" customWidth="1"/>
    <col min="3842" max="3842" width="79" style="94" customWidth="1"/>
    <col min="3843" max="4095" width="8.7265625" style="94"/>
    <col min="4096" max="4096" width="3.7265625" style="94" customWidth="1"/>
    <col min="4097" max="4097" width="31.26953125" style="94" customWidth="1"/>
    <col min="4098" max="4098" width="79" style="94" customWidth="1"/>
    <col min="4099" max="4351" width="8.7265625" style="94"/>
    <col min="4352" max="4352" width="3.7265625" style="94" customWidth="1"/>
    <col min="4353" max="4353" width="31.26953125" style="94" customWidth="1"/>
    <col min="4354" max="4354" width="79" style="94" customWidth="1"/>
    <col min="4355" max="4607" width="8.7265625" style="94"/>
    <col min="4608" max="4608" width="3.7265625" style="94" customWidth="1"/>
    <col min="4609" max="4609" width="31.26953125" style="94" customWidth="1"/>
    <col min="4610" max="4610" width="79" style="94" customWidth="1"/>
    <col min="4611" max="4863" width="8.7265625" style="94"/>
    <col min="4864" max="4864" width="3.7265625" style="94" customWidth="1"/>
    <col min="4865" max="4865" width="31.26953125" style="94" customWidth="1"/>
    <col min="4866" max="4866" width="79" style="94" customWidth="1"/>
    <col min="4867" max="5119" width="8.7265625" style="94"/>
    <col min="5120" max="5120" width="3.7265625" style="94" customWidth="1"/>
    <col min="5121" max="5121" width="31.26953125" style="94" customWidth="1"/>
    <col min="5122" max="5122" width="79" style="94" customWidth="1"/>
    <col min="5123" max="5375" width="8.7265625" style="94"/>
    <col min="5376" max="5376" width="3.7265625" style="94" customWidth="1"/>
    <col min="5377" max="5377" width="31.26953125" style="94" customWidth="1"/>
    <col min="5378" max="5378" width="79" style="94" customWidth="1"/>
    <col min="5379" max="5631" width="8.7265625" style="94"/>
    <col min="5632" max="5632" width="3.7265625" style="94" customWidth="1"/>
    <col min="5633" max="5633" width="31.26953125" style="94" customWidth="1"/>
    <col min="5634" max="5634" width="79" style="94" customWidth="1"/>
    <col min="5635" max="5887" width="8.7265625" style="94"/>
    <col min="5888" max="5888" width="3.7265625" style="94" customWidth="1"/>
    <col min="5889" max="5889" width="31.26953125" style="94" customWidth="1"/>
    <col min="5890" max="5890" width="79" style="94" customWidth="1"/>
    <col min="5891" max="6143" width="8.7265625" style="94"/>
    <col min="6144" max="6144" width="3.7265625" style="94" customWidth="1"/>
    <col min="6145" max="6145" width="31.26953125" style="94" customWidth="1"/>
    <col min="6146" max="6146" width="79" style="94" customWidth="1"/>
    <col min="6147" max="6399" width="8.7265625" style="94"/>
    <col min="6400" max="6400" width="3.7265625" style="94" customWidth="1"/>
    <col min="6401" max="6401" width="31.26953125" style="94" customWidth="1"/>
    <col min="6402" max="6402" width="79" style="94" customWidth="1"/>
    <col min="6403" max="6655" width="8.7265625" style="94"/>
    <col min="6656" max="6656" width="3.7265625" style="94" customWidth="1"/>
    <col min="6657" max="6657" width="31.26953125" style="94" customWidth="1"/>
    <col min="6658" max="6658" width="79" style="94" customWidth="1"/>
    <col min="6659" max="6911" width="8.7265625" style="94"/>
    <col min="6912" max="6912" width="3.7265625" style="94" customWidth="1"/>
    <col min="6913" max="6913" width="31.26953125" style="94" customWidth="1"/>
    <col min="6914" max="6914" width="79" style="94" customWidth="1"/>
    <col min="6915" max="7167" width="8.7265625" style="94"/>
    <col min="7168" max="7168" width="3.7265625" style="94" customWidth="1"/>
    <col min="7169" max="7169" width="31.26953125" style="94" customWidth="1"/>
    <col min="7170" max="7170" width="79" style="94" customWidth="1"/>
    <col min="7171" max="7423" width="8.7265625" style="94"/>
    <col min="7424" max="7424" width="3.7265625" style="94" customWidth="1"/>
    <col min="7425" max="7425" width="31.26953125" style="94" customWidth="1"/>
    <col min="7426" max="7426" width="79" style="94" customWidth="1"/>
    <col min="7427" max="7679" width="8.7265625" style="94"/>
    <col min="7680" max="7680" width="3.7265625" style="94" customWidth="1"/>
    <col min="7681" max="7681" width="31.26953125" style="94" customWidth="1"/>
    <col min="7682" max="7682" width="79" style="94" customWidth="1"/>
    <col min="7683" max="7935" width="8.7265625" style="94"/>
    <col min="7936" max="7936" width="3.7265625" style="94" customWidth="1"/>
    <col min="7937" max="7937" width="31.26953125" style="94" customWidth="1"/>
    <col min="7938" max="7938" width="79" style="94" customWidth="1"/>
    <col min="7939" max="8191" width="8.7265625" style="94"/>
    <col min="8192" max="8192" width="3.7265625" style="94" customWidth="1"/>
    <col min="8193" max="8193" width="31.26953125" style="94" customWidth="1"/>
    <col min="8194" max="8194" width="79" style="94" customWidth="1"/>
    <col min="8195" max="8447" width="8.7265625" style="94"/>
    <col min="8448" max="8448" width="3.7265625" style="94" customWidth="1"/>
    <col min="8449" max="8449" width="31.26953125" style="94" customWidth="1"/>
    <col min="8450" max="8450" width="79" style="94" customWidth="1"/>
    <col min="8451" max="8703" width="8.7265625" style="94"/>
    <col min="8704" max="8704" width="3.7265625" style="94" customWidth="1"/>
    <col min="8705" max="8705" width="31.26953125" style="94" customWidth="1"/>
    <col min="8706" max="8706" width="79" style="94" customWidth="1"/>
    <col min="8707" max="8959" width="8.7265625" style="94"/>
    <col min="8960" max="8960" width="3.7265625" style="94" customWidth="1"/>
    <col min="8961" max="8961" width="31.26953125" style="94" customWidth="1"/>
    <col min="8962" max="8962" width="79" style="94" customWidth="1"/>
    <col min="8963" max="9215" width="8.7265625" style="94"/>
    <col min="9216" max="9216" width="3.7265625" style="94" customWidth="1"/>
    <col min="9217" max="9217" width="31.26953125" style="94" customWidth="1"/>
    <col min="9218" max="9218" width="79" style="94" customWidth="1"/>
    <col min="9219" max="9471" width="8.7265625" style="94"/>
    <col min="9472" max="9472" width="3.7265625" style="94" customWidth="1"/>
    <col min="9473" max="9473" width="31.26953125" style="94" customWidth="1"/>
    <col min="9474" max="9474" width="79" style="94" customWidth="1"/>
    <col min="9475" max="9727" width="8.7265625" style="94"/>
    <col min="9728" max="9728" width="3.7265625" style="94" customWidth="1"/>
    <col min="9729" max="9729" width="31.26953125" style="94" customWidth="1"/>
    <col min="9730" max="9730" width="79" style="94" customWidth="1"/>
    <col min="9731" max="9983" width="8.7265625" style="94"/>
    <col min="9984" max="9984" width="3.7265625" style="94" customWidth="1"/>
    <col min="9985" max="9985" width="31.26953125" style="94" customWidth="1"/>
    <col min="9986" max="9986" width="79" style="94" customWidth="1"/>
    <col min="9987" max="10239" width="8.7265625" style="94"/>
    <col min="10240" max="10240" width="3.7265625" style="94" customWidth="1"/>
    <col min="10241" max="10241" width="31.26953125" style="94" customWidth="1"/>
    <col min="10242" max="10242" width="79" style="94" customWidth="1"/>
    <col min="10243" max="10495" width="8.7265625" style="94"/>
    <col min="10496" max="10496" width="3.7265625" style="94" customWidth="1"/>
    <col min="10497" max="10497" width="31.26953125" style="94" customWidth="1"/>
    <col min="10498" max="10498" width="79" style="94" customWidth="1"/>
    <col min="10499" max="10751" width="8.7265625" style="94"/>
    <col min="10752" max="10752" width="3.7265625" style="94" customWidth="1"/>
    <col min="10753" max="10753" width="31.26953125" style="94" customWidth="1"/>
    <col min="10754" max="10754" width="79" style="94" customWidth="1"/>
    <col min="10755" max="11007" width="8.7265625" style="94"/>
    <col min="11008" max="11008" width="3.7265625" style="94" customWidth="1"/>
    <col min="11009" max="11009" width="31.26953125" style="94" customWidth="1"/>
    <col min="11010" max="11010" width="79" style="94" customWidth="1"/>
    <col min="11011" max="11263" width="8.7265625" style="94"/>
    <col min="11264" max="11264" width="3.7265625" style="94" customWidth="1"/>
    <col min="11265" max="11265" width="31.26953125" style="94" customWidth="1"/>
    <col min="11266" max="11266" width="79" style="94" customWidth="1"/>
    <col min="11267" max="11519" width="8.7265625" style="94"/>
    <col min="11520" max="11520" width="3.7265625" style="94" customWidth="1"/>
    <col min="11521" max="11521" width="31.26953125" style="94" customWidth="1"/>
    <col min="11522" max="11522" width="79" style="94" customWidth="1"/>
    <col min="11523" max="11775" width="8.7265625" style="94"/>
    <col min="11776" max="11776" width="3.7265625" style="94" customWidth="1"/>
    <col min="11777" max="11777" width="31.26953125" style="94" customWidth="1"/>
    <col min="11778" max="11778" width="79" style="94" customWidth="1"/>
    <col min="11779" max="12031" width="8.7265625" style="94"/>
    <col min="12032" max="12032" width="3.7265625" style="94" customWidth="1"/>
    <col min="12033" max="12033" width="31.26953125" style="94" customWidth="1"/>
    <col min="12034" max="12034" width="79" style="94" customWidth="1"/>
    <col min="12035" max="12287" width="8.7265625" style="94"/>
    <col min="12288" max="12288" width="3.7265625" style="94" customWidth="1"/>
    <col min="12289" max="12289" width="31.26953125" style="94" customWidth="1"/>
    <col min="12290" max="12290" width="79" style="94" customWidth="1"/>
    <col min="12291" max="12543" width="8.7265625" style="94"/>
    <col min="12544" max="12544" width="3.7265625" style="94" customWidth="1"/>
    <col min="12545" max="12545" width="31.26953125" style="94" customWidth="1"/>
    <col min="12546" max="12546" width="79" style="94" customWidth="1"/>
    <col min="12547" max="12799" width="8.7265625" style="94"/>
    <col min="12800" max="12800" width="3.7265625" style="94" customWidth="1"/>
    <col min="12801" max="12801" width="31.26953125" style="94" customWidth="1"/>
    <col min="12802" max="12802" width="79" style="94" customWidth="1"/>
    <col min="12803" max="13055" width="8.7265625" style="94"/>
    <col min="13056" max="13056" width="3.7265625" style="94" customWidth="1"/>
    <col min="13057" max="13057" width="31.26953125" style="94" customWidth="1"/>
    <col min="13058" max="13058" width="79" style="94" customWidth="1"/>
    <col min="13059" max="13311" width="8.7265625" style="94"/>
    <col min="13312" max="13312" width="3.7265625" style="94" customWidth="1"/>
    <col min="13313" max="13313" width="31.26953125" style="94" customWidth="1"/>
    <col min="13314" max="13314" width="79" style="94" customWidth="1"/>
    <col min="13315" max="13567" width="8.7265625" style="94"/>
    <col min="13568" max="13568" width="3.7265625" style="94" customWidth="1"/>
    <col min="13569" max="13569" width="31.26953125" style="94" customWidth="1"/>
    <col min="13570" max="13570" width="79" style="94" customWidth="1"/>
    <col min="13571" max="13823" width="8.7265625" style="94"/>
    <col min="13824" max="13824" width="3.7265625" style="94" customWidth="1"/>
    <col min="13825" max="13825" width="31.26953125" style="94" customWidth="1"/>
    <col min="13826" max="13826" width="79" style="94" customWidth="1"/>
    <col min="13827" max="14079" width="8.7265625" style="94"/>
    <col min="14080" max="14080" width="3.7265625" style="94" customWidth="1"/>
    <col min="14081" max="14081" width="31.26953125" style="94" customWidth="1"/>
    <col min="14082" max="14082" width="79" style="94" customWidth="1"/>
    <col min="14083" max="14335" width="8.7265625" style="94"/>
    <col min="14336" max="14336" width="3.7265625" style="94" customWidth="1"/>
    <col min="14337" max="14337" width="31.26953125" style="94" customWidth="1"/>
    <col min="14338" max="14338" width="79" style="94" customWidth="1"/>
    <col min="14339" max="14591" width="8.7265625" style="94"/>
    <col min="14592" max="14592" width="3.7265625" style="94" customWidth="1"/>
    <col min="14593" max="14593" width="31.26953125" style="94" customWidth="1"/>
    <col min="14594" max="14594" width="79" style="94" customWidth="1"/>
    <col min="14595" max="14847" width="8.7265625" style="94"/>
    <col min="14848" max="14848" width="3.7265625" style="94" customWidth="1"/>
    <col min="14849" max="14849" width="31.26953125" style="94" customWidth="1"/>
    <col min="14850" max="14850" width="79" style="94" customWidth="1"/>
    <col min="14851" max="15103" width="8.7265625" style="94"/>
    <col min="15104" max="15104" width="3.7265625" style="94" customWidth="1"/>
    <col min="15105" max="15105" width="31.26953125" style="94" customWidth="1"/>
    <col min="15106" max="15106" width="79" style="94" customWidth="1"/>
    <col min="15107" max="15359" width="8.7265625" style="94"/>
    <col min="15360" max="15360" width="3.7265625" style="94" customWidth="1"/>
    <col min="15361" max="15361" width="31.26953125" style="94" customWidth="1"/>
    <col min="15362" max="15362" width="79" style="94" customWidth="1"/>
    <col min="15363" max="15615" width="8.7265625" style="94"/>
    <col min="15616" max="15616" width="3.7265625" style="94" customWidth="1"/>
    <col min="15617" max="15617" width="31.26953125" style="94" customWidth="1"/>
    <col min="15618" max="15618" width="79" style="94" customWidth="1"/>
    <col min="15619" max="15871" width="8.7265625" style="94"/>
    <col min="15872" max="15872" width="3.7265625" style="94" customWidth="1"/>
    <col min="15873" max="15873" width="31.26953125" style="94" customWidth="1"/>
    <col min="15874" max="15874" width="79" style="94" customWidth="1"/>
    <col min="15875" max="16127" width="8.7265625" style="94"/>
    <col min="16128" max="16128" width="3.7265625" style="94" customWidth="1"/>
    <col min="16129" max="16129" width="31.26953125" style="94" customWidth="1"/>
    <col min="16130" max="16130" width="79" style="94" customWidth="1"/>
    <col min="16131" max="16384" width="8.7265625" style="94"/>
  </cols>
  <sheetData>
    <row r="1" spans="1:2" ht="15.5" x14ac:dyDescent="0.35">
      <c r="A1" s="495" t="s">
        <v>314</v>
      </c>
      <c r="B1" s="496"/>
    </row>
    <row r="2" spans="1:2" ht="15.5" x14ac:dyDescent="0.35">
      <c r="A2" s="163"/>
      <c r="B2" s="162"/>
    </row>
    <row r="3" spans="1:2" ht="6.75" customHeight="1" x14ac:dyDescent="0.35">
      <c r="A3" s="95"/>
      <c r="B3" s="96"/>
    </row>
    <row r="4" spans="1:2" ht="14.5" customHeight="1" x14ac:dyDescent="0.35">
      <c r="A4" s="155" t="s">
        <v>315</v>
      </c>
      <c r="B4" s="164">
        <v>34</v>
      </c>
    </row>
    <row r="5" spans="1:2" ht="20.149999999999999" customHeight="1" x14ac:dyDescent="0.35">
      <c r="A5" s="155" t="s">
        <v>316</v>
      </c>
      <c r="B5" s="97" t="str">
        <f>VLOOKUP(B4,Responses!A:AU,7,0)</f>
        <v>First Name Last Name 1</v>
      </c>
    </row>
    <row r="6" spans="1:2" ht="20.149999999999999" customHeight="1" x14ac:dyDescent="0.35">
      <c r="A6" s="155" t="s">
        <v>317</v>
      </c>
      <c r="B6" s="97" t="str">
        <f>VLOOKUP(B4,Responses!A:AU,17,0)</f>
        <v>Laboratory Manager</v>
      </c>
    </row>
    <row r="7" spans="1:2" ht="20.149999999999999" customHeight="1" x14ac:dyDescent="0.35">
      <c r="A7" s="155" t="s">
        <v>318</v>
      </c>
      <c r="B7" s="97" t="str">
        <f>VLOOKUP(B4,Responses!A:AU,15,0)</f>
        <v>Metadiagnostics Inc., dba Metametrics Laboratory</v>
      </c>
    </row>
    <row r="8" spans="1:2" ht="6.75" customHeight="1" thickBot="1" x14ac:dyDescent="0.4">
      <c r="A8" s="95"/>
      <c r="B8" s="96"/>
    </row>
    <row r="9" spans="1:2" ht="16" thickBot="1" x14ac:dyDescent="0.4">
      <c r="A9" s="157" t="s">
        <v>319</v>
      </c>
      <c r="B9" s="98" t="s">
        <v>320</v>
      </c>
    </row>
    <row r="10" spans="1:2" ht="20.149999999999999" customHeight="1" x14ac:dyDescent="0.35">
      <c r="A10" s="156" t="s">
        <v>321</v>
      </c>
      <c r="B10" s="101"/>
    </row>
    <row r="11" spans="1:2" ht="20.149999999999999" customHeight="1" x14ac:dyDescent="0.35">
      <c r="A11" s="99" t="s">
        <v>322</v>
      </c>
      <c r="B11" s="100" t="str">
        <f>VLOOKUP(B4,Responses!A:AU,35,0)</f>
        <v>150,000 maximum benefit limit</v>
      </c>
    </row>
    <row r="12" spans="1:2" ht="20.149999999999999" customHeight="1" x14ac:dyDescent="0.35">
      <c r="A12" s="99" t="s">
        <v>323</v>
      </c>
      <c r="B12" s="100" t="str">
        <f>VLOOKUP(B4,Responses!A:AU,36,0)</f>
        <v>0</v>
      </c>
    </row>
    <row r="13" spans="1:2" ht="19.5" customHeight="1" x14ac:dyDescent="0.35">
      <c r="A13" s="99" t="s">
        <v>160</v>
      </c>
      <c r="B13" s="100" t="str">
        <f>VLOOKUP(B4,Responses!A:AU,38,0)</f>
        <v>P5,000 per year</v>
      </c>
    </row>
    <row r="14" spans="1:2" ht="20.149999999999999" customHeight="1" x14ac:dyDescent="0.35">
      <c r="A14" s="99" t="s">
        <v>159</v>
      </c>
      <c r="B14" s="97" t="str">
        <f>VLOOKUP(B4,Responses!A:AU,37,0)</f>
        <v>Dental services covered (employee)</v>
      </c>
    </row>
    <row r="15" spans="1:2" ht="19.5" customHeight="1" x14ac:dyDescent="0.35">
      <c r="A15" s="99" t="s">
        <v>161</v>
      </c>
      <c r="B15" s="100" t="str">
        <f>VLOOKUP(B4,Responses!A:AU,39,0)</f>
        <v>included in the 150K limit</v>
      </c>
    </row>
    <row r="16" spans="1:2" ht="19.5" customHeight="1" x14ac:dyDescent="0.35">
      <c r="A16" s="99" t="s">
        <v>162</v>
      </c>
      <c r="B16" s="100" t="str">
        <f>VLOOKUP(B4,Responses!A:AU,40,0)</f>
        <v>N/A</v>
      </c>
    </row>
    <row r="17" spans="1:2" ht="20.149999999999999" customHeight="1" x14ac:dyDescent="0.35">
      <c r="A17" s="156" t="s">
        <v>324</v>
      </c>
      <c r="B17" s="101"/>
    </row>
    <row r="18" spans="1:2" ht="20.149999999999999" customHeight="1" x14ac:dyDescent="0.35">
      <c r="A18" s="99" t="s">
        <v>163</v>
      </c>
      <c r="B18" s="100" t="str">
        <f>VLOOKUP(B4,Responses!A:AU,41,0)</f>
        <v>7 days</v>
      </c>
    </row>
    <row r="19" spans="1:2" ht="20.149999999999999" customHeight="1" x14ac:dyDescent="0.35">
      <c r="A19" s="99" t="s">
        <v>164</v>
      </c>
      <c r="B19" s="100" t="str">
        <f>VLOOKUP(B4,Responses!A:AU,42,0)</f>
        <v>7 days, convertible to cash if unused</v>
      </c>
    </row>
    <row r="20" spans="1:2" ht="20.149999999999999" customHeight="1" x14ac:dyDescent="0.35">
      <c r="A20" s="99" t="s">
        <v>165</v>
      </c>
      <c r="B20" s="100" t="str">
        <f>VLOOKUP(B4,Responses!A:AU,43,0)</f>
        <v>N/A</v>
      </c>
    </row>
    <row r="21" spans="1:2" ht="20.149999999999999" customHeight="1" x14ac:dyDescent="0.35">
      <c r="A21" s="156" t="s">
        <v>325</v>
      </c>
      <c r="B21" s="101"/>
    </row>
    <row r="22" spans="1:2" ht="20.149999999999999" customHeight="1" x14ac:dyDescent="0.35">
      <c r="A22" s="99" t="s">
        <v>326</v>
      </c>
      <c r="B22" s="100">
        <f>VLOOKUP(B4,Responses!A:AU,46,0)</f>
        <v>0</v>
      </c>
    </row>
    <row r="23" spans="1:2" ht="20.149999999999999" customHeight="1" x14ac:dyDescent="0.35">
      <c r="A23" s="99" t="s">
        <v>169</v>
      </c>
      <c r="B23" s="100">
        <f>VLOOKUP(B4,Responses!A:AU,47,0)</f>
        <v>0</v>
      </c>
    </row>
    <row r="24" spans="1:2" ht="20.149999999999999" customHeight="1" x14ac:dyDescent="0.35">
      <c r="A24" s="156" t="s">
        <v>327</v>
      </c>
      <c r="B24" s="101"/>
    </row>
    <row r="25" spans="1:2" ht="20.149999999999999" customHeight="1" x14ac:dyDescent="0.35">
      <c r="A25" s="99" t="s">
        <v>166</v>
      </c>
      <c r="B25" s="100" t="str">
        <f>VLOOKUP(B4,Responses!A:AU,44,0)</f>
        <v>P500,000 coverage (company paid)</v>
      </c>
    </row>
    <row r="26" spans="1:2" ht="20.149999999999999" customHeight="1" x14ac:dyDescent="0.35">
      <c r="A26" s="158"/>
      <c r="B26" s="101"/>
    </row>
    <row r="27" spans="1:2" ht="20.149999999999999" customHeight="1" x14ac:dyDescent="0.35">
      <c r="A27" s="99" t="s">
        <v>328</v>
      </c>
      <c r="B27" s="100" t="str">
        <f>VLOOKUP(B4,Responses!A:AU,45,0)</f>
        <v>Pag-ibig, SSS, and Philhealth</v>
      </c>
    </row>
  </sheetData>
  <mergeCells count="1">
    <mergeCell ref="A1:B1"/>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05" r:id="rId12" name="Check Box 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06" r:id="rId13" name="Check Box 1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07" r:id="rId14" name="Check Box 11">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108" r:id="rId15" name="Check Box 12">
              <controlPr defaultSize="0" autoFill="0" autoLine="0" autoPict="0">
                <anchor moveWithCells="1">
                  <from>
                    <xdr:col>0</xdr:col>
                    <xdr:colOff>0</xdr:colOff>
                    <xdr:row>27</xdr:row>
                    <xdr:rowOff>0</xdr:rowOff>
                  </from>
                  <to>
                    <xdr:col>0</xdr:col>
                    <xdr:colOff>317500</xdr:colOff>
                    <xdr:row>27</xdr:row>
                    <xdr:rowOff>127000</xdr:rowOff>
                  </to>
                </anchor>
              </controlPr>
            </control>
          </mc:Choice>
        </mc:AlternateContent>
        <mc:AlternateContent xmlns:mc="http://schemas.openxmlformats.org/markup-compatibility/2006">
          <mc:Choice Requires="x14">
            <control shapeId="4109" r:id="rId16" name="Check Box 1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0" r:id="rId17" name="Check Box 1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1" r:id="rId18" name="Check Box 1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2" r:id="rId19" name="Check Box 1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3" r:id="rId20" name="Check Box 1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4" r:id="rId21" name="Check Box 1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5" r:id="rId22" name="Check Box 1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6" r:id="rId23" name="Check Box 2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7" r:id="rId24" name="Check Box 2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8" r:id="rId25" name="Check Box 22">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119" r:id="rId26" name="Check Box 2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0" r:id="rId27" name="Check Box 2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1" r:id="rId28" name="Check Box 2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2" r:id="rId29" name="Check Box 2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3" r:id="rId30" name="Check Box 2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4" r:id="rId31" name="Check Box 2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5" r:id="rId32" name="Check Box 2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6" r:id="rId33" name="Check Box 3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7" r:id="rId34" name="Check Box 3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8" r:id="rId35" name="Check Box 3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9" r:id="rId36" name="Check Box 3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0" r:id="rId37" name="Check Box 3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1" r:id="rId38" name="Check Box 3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2" r:id="rId39" name="Check Box 3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3" r:id="rId40" name="Check Box 3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4" r:id="rId41" name="Check Box 3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5" r:id="rId42" name="Check Box 3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6" r:id="rId43" name="Check Box 4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7" r:id="rId44" name="Check Box 4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8" r:id="rId45" name="Check Box 4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9" r:id="rId46" name="Check Box 43">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140" r:id="rId47" name="Check Box 44">
              <controlPr defaultSize="0" autoFill="0" autoLine="0" autoPict="0">
                <anchor moveWithCells="1">
                  <from>
                    <xdr:col>0</xdr:col>
                    <xdr:colOff>0</xdr:colOff>
                    <xdr:row>27</xdr:row>
                    <xdr:rowOff>0</xdr:rowOff>
                  </from>
                  <to>
                    <xdr:col>0</xdr:col>
                    <xdr:colOff>317500</xdr:colOff>
                    <xdr:row>27</xdr:row>
                    <xdr:rowOff>127000</xdr:rowOff>
                  </to>
                </anchor>
              </controlPr>
            </control>
          </mc:Choice>
        </mc:AlternateContent>
        <mc:AlternateContent xmlns:mc="http://schemas.openxmlformats.org/markup-compatibility/2006">
          <mc:Choice Requires="x14">
            <control shapeId="4141" r:id="rId48" name="Check Box 4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42" r:id="rId49" name="Check Box 4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43" r:id="rId50" name="Check Box 4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44" r:id="rId51" name="Check Box 4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45" r:id="rId52" name="Check Box 4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46" r:id="rId53" name="Check Box 5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47" r:id="rId54" name="Check Box 5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48" r:id="rId55" name="Check Box 5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49" r:id="rId56" name="Check Box 5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0" r:id="rId57" name="Check Box 54">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151" r:id="rId58" name="Check Box 5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2" r:id="rId59" name="Check Box 5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3" r:id="rId60" name="Check Box 5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4" r:id="rId61" name="Check Box 5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5" r:id="rId62" name="Check Box 5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6" r:id="rId63" name="Check Box 6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7" r:id="rId64" name="Check Box 6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8" r:id="rId65" name="Check Box 6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9" r:id="rId66" name="Check Box 6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60" r:id="rId67" name="Check Box 6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61" r:id="rId68" name="Check Box 6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62" r:id="rId69" name="Check Box 6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63" r:id="rId70" name="Check Box 6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64" r:id="rId71" name="Check Box 6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65" r:id="rId72" name="Check Box 6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66" r:id="rId73" name="Check Box 70">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167" r:id="rId74" name="Check Box 71">
              <controlPr defaultSize="0" autoFill="0" autoLine="0" autoPict="0">
                <anchor moveWithCells="1">
                  <from>
                    <xdr:col>0</xdr:col>
                    <xdr:colOff>0</xdr:colOff>
                    <xdr:row>27</xdr:row>
                    <xdr:rowOff>0</xdr:rowOff>
                  </from>
                  <to>
                    <xdr:col>0</xdr:col>
                    <xdr:colOff>317500</xdr:colOff>
                    <xdr:row>27</xdr:row>
                    <xdr:rowOff>127000</xdr:rowOff>
                  </to>
                </anchor>
              </controlPr>
            </control>
          </mc:Choice>
        </mc:AlternateContent>
        <mc:AlternateContent xmlns:mc="http://schemas.openxmlformats.org/markup-compatibility/2006">
          <mc:Choice Requires="x14">
            <control shapeId="4168" r:id="rId75" name="Check Box 7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69" r:id="rId76" name="Check Box 7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0" r:id="rId77" name="Check Box 7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1" r:id="rId78" name="Check Box 7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2" r:id="rId79" name="Check Box 7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3" r:id="rId80" name="Check Box 7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4" r:id="rId81" name="Check Box 7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5" r:id="rId82" name="Check Box 7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6" r:id="rId83" name="Check Box 80">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177" r:id="rId84" name="Check Box 8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8" r:id="rId85" name="Check Box 8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9" r:id="rId86" name="Check Box 8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80" r:id="rId87" name="Check Box 8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81" r:id="rId88" name="Check Box 8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82" r:id="rId89" name="Check Box 8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83" r:id="rId90" name="Check Box 8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84" r:id="rId91" name="Check Box 8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85" r:id="rId92" name="Check Box 8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86" r:id="rId93" name="Check Box 90">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187" r:id="rId94" name="Check Box 91">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188" r:id="rId95" name="Check Box 92">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189" r:id="rId96" name="Check Box 9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0" r:id="rId97" name="Check Box 9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1" r:id="rId98" name="Check Box 9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2" r:id="rId99" name="Check Box 9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3" r:id="rId100" name="Check Box 9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4" r:id="rId101" name="Check Box 9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5" r:id="rId102" name="Check Box 9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6" r:id="rId103" name="Check Box 10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7" r:id="rId104" name="Check Box 10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8" r:id="rId105" name="Check Box 10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9" r:id="rId106" name="Check Box 10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0" r:id="rId107" name="Check Box 10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1" r:id="rId108" name="Check Box 10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2" r:id="rId109" name="Check Box 10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3" r:id="rId110" name="Check Box 10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4" r:id="rId111" name="Check Box 10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5" r:id="rId112" name="Check Box 10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6" r:id="rId113" name="Check Box 11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7" r:id="rId114" name="Check Box 11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8" r:id="rId115" name="Check Box 11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9" r:id="rId116" name="Check Box 11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10" r:id="rId117" name="Check Box 11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11" r:id="rId118" name="Check Box 11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12" r:id="rId119" name="Check Box 11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13" r:id="rId120" name="Check Box 11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14" r:id="rId121" name="Check Box 118">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15" r:id="rId122" name="Check Box 11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16" r:id="rId123" name="Check Box 120">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17" r:id="rId124" name="Check Box 12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18" r:id="rId125" name="Check Box 122">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19" r:id="rId126" name="Check Box 123">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20" r:id="rId127" name="Check Box 124">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21" r:id="rId128" name="Check Box 125">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22" r:id="rId129" name="Check Box 12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23" r:id="rId130" name="Check Box 127">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24" r:id="rId131" name="Check Box 12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25" r:id="rId132" name="Check Box 129">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26" r:id="rId133" name="Check Box 13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27" r:id="rId134" name="Check Box 131">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28" r:id="rId135" name="Check Box 132">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29" r:id="rId136" name="Check Box 133">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30" r:id="rId137" name="Check Box 134">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31" r:id="rId138" name="Check Box 13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32" r:id="rId139" name="Check Box 136">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33" r:id="rId140" name="Check Box 13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34" r:id="rId141" name="Check Box 138">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35" r:id="rId142" name="Check Box 13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36" r:id="rId143" name="Check Box 140">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37" r:id="rId144" name="Check Box 141">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38" r:id="rId145" name="Check Box 142">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39" r:id="rId146" name="Check Box 143">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0" r:id="rId147" name="Check Box 144">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1" r:id="rId148" name="Check Box 145">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2" r:id="rId149" name="Check Box 146">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3" r:id="rId150" name="Check Box 147">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4" r:id="rId151" name="Check Box 148">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5" r:id="rId152" name="Check Box 149">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6" r:id="rId153" name="Check Box 150">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7" r:id="rId154" name="Check Box 151">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8" r:id="rId155" name="Check Box 152">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9" r:id="rId156" name="Check Box 15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50" r:id="rId157" name="Check Box 15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51" r:id="rId158" name="Check Box 15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52" r:id="rId159" name="Check Box 15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53" r:id="rId160" name="Check Box 15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54" r:id="rId161" name="Check Box 15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55" r:id="rId162" name="Check Box 15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56" r:id="rId163" name="Check Box 16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57" r:id="rId164" name="Check Box 16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58" r:id="rId165" name="Check Box 16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59" r:id="rId166" name="Check Box 16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60" r:id="rId167" name="Check Box 16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61" r:id="rId168" name="Check Box 16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62" r:id="rId169" name="Check Box 16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263" r:id="rId170" name="Check Box 167">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264" r:id="rId171" name="Check Box 16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65" r:id="rId172" name="Check Box 16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66" r:id="rId173" name="Check Box 17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67" r:id="rId174" name="Check Box 17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68" r:id="rId175" name="Check Box 17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69" r:id="rId176" name="Check Box 17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0" r:id="rId177" name="Check Box 17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1" r:id="rId178" name="Check Box 17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2" r:id="rId179" name="Check Box 17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3" r:id="rId180" name="Check Box 17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274" r:id="rId181" name="Check Box 17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5" r:id="rId182" name="Check Box 17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6" r:id="rId183" name="Check Box 18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7" r:id="rId184" name="Check Box 18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8" r:id="rId185" name="Check Box 18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9" r:id="rId186" name="Check Box 18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0" r:id="rId187" name="Check Box 18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1" r:id="rId188" name="Check Box 18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2" r:id="rId189" name="Check Box 18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3" r:id="rId190" name="Check Box 18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4" r:id="rId191" name="Check Box 18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5" r:id="rId192" name="Check Box 18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6" r:id="rId193" name="Check Box 19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7" r:id="rId194" name="Check Box 19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8" r:id="rId195" name="Check Box 19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9" r:id="rId196" name="Check Box 19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90" r:id="rId197" name="Check Box 19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91" r:id="rId198" name="Check Box 19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92" r:id="rId199" name="Check Box 19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93" r:id="rId200" name="Check Box 19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94" r:id="rId201" name="Check Box 19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295" r:id="rId202" name="Check Box 199">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296" r:id="rId203" name="Check Box 20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97" r:id="rId204" name="Check Box 20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98" r:id="rId205" name="Check Box 20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99" r:id="rId206" name="Check Box 20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0" r:id="rId207" name="Check Box 20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1" r:id="rId208" name="Check Box 20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2" r:id="rId209" name="Check Box 20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3" r:id="rId210" name="Check Box 20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4" r:id="rId211" name="Check Box 20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5" r:id="rId212" name="Check Box 20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06" r:id="rId213" name="Check Box 21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7" r:id="rId214" name="Check Box 21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8" r:id="rId215" name="Check Box 21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9" r:id="rId216" name="Check Box 21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0" r:id="rId217" name="Check Box 21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1" r:id="rId218" name="Check Box 21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2" r:id="rId219" name="Check Box 21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3" r:id="rId220" name="Check Box 21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4" r:id="rId221" name="Check Box 21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5" r:id="rId222" name="Check Box 21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6" r:id="rId223" name="Check Box 22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7" r:id="rId224" name="Check Box 22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8" r:id="rId225" name="Check Box 22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9" r:id="rId226" name="Check Box 22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20" r:id="rId227" name="Check Box 22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21" r:id="rId228" name="Check Box 22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322" r:id="rId229" name="Check Box 226">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323" r:id="rId230" name="Check Box 22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24" r:id="rId231" name="Check Box 22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25" r:id="rId232" name="Check Box 22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26" r:id="rId233" name="Check Box 23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27" r:id="rId234" name="Check Box 23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28" r:id="rId235" name="Check Box 23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29" r:id="rId236" name="Check Box 23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0" r:id="rId237" name="Check Box 23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1" r:id="rId238" name="Check Box 23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32" r:id="rId239" name="Check Box 23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3" r:id="rId240" name="Check Box 23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4" r:id="rId241" name="Check Box 23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5" r:id="rId242" name="Check Box 23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6" r:id="rId243" name="Check Box 24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7" r:id="rId244" name="Check Box 24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8" r:id="rId245" name="Check Box 24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9" r:id="rId246" name="Check Box 24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40" r:id="rId247" name="Check Box 24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41" r:id="rId248" name="Check Box 245">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342" r:id="rId249" name="Check Box 246">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343" r:id="rId250" name="Check Box 247">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344" r:id="rId251" name="Check Box 24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45" r:id="rId252" name="Check Box 24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46" r:id="rId253" name="Check Box 25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47" r:id="rId254" name="Check Box 25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48" r:id="rId255" name="Check Box 25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49" r:id="rId256" name="Check Box 25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0" r:id="rId257" name="Check Box 25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1" r:id="rId258" name="Check Box 25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2" r:id="rId259" name="Check Box 25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3" r:id="rId260" name="Check Box 25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4" r:id="rId261" name="Check Box 25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5" r:id="rId262" name="Check Box 25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6" r:id="rId263" name="Check Box 26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7" r:id="rId264" name="Check Box 26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8" r:id="rId265" name="Check Box 26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9" r:id="rId266" name="Check Box 26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0" r:id="rId267" name="Check Box 26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1" r:id="rId268" name="Check Box 26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2" r:id="rId269" name="Check Box 26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3" r:id="rId270" name="Check Box 26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4" r:id="rId271" name="Check Box 26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5" r:id="rId272" name="Check Box 26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6" r:id="rId273" name="Check Box 27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7" r:id="rId274" name="Check Box 27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8" r:id="rId275" name="Check Box 27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9" r:id="rId276" name="Check Box 27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70" r:id="rId277" name="Check Box 27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71" r:id="rId278" name="Check Box 27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72" r:id="rId279" name="Check Box 27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73" r:id="rId280" name="Check Box 27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74" r:id="rId281" name="Check Box 27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75" r:id="rId282" name="Check Box 27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76" r:id="rId283" name="Check Box 28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77" r:id="rId284" name="Check Box 28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78" r:id="rId285" name="Check Box 28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79" r:id="rId286" name="Check Box 28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80" r:id="rId287" name="Check Box 28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81" r:id="rId288" name="Check Box 28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82" r:id="rId289" name="Check Box 28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83" r:id="rId290" name="Check Box 28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84" r:id="rId291" name="Check Box 28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85" r:id="rId292" name="Check Box 28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86" r:id="rId293" name="Check Box 29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87" r:id="rId294" name="Check Box 29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88" r:id="rId295" name="Check Box 29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89" r:id="rId296" name="Check Box 29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0" r:id="rId297" name="Check Box 29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91" r:id="rId298" name="Check Box 29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2" r:id="rId299" name="Check Box 29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3" r:id="rId300" name="Check Box 29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4" r:id="rId301" name="Check Box 29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5" r:id="rId302" name="Check Box 29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6" r:id="rId303" name="Check Box 30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7" r:id="rId304" name="Check Box 30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8" r:id="rId305" name="Check Box 30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9" r:id="rId306" name="Check Box 30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400" r:id="rId307" name="Check Box 30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401" r:id="rId308" name="Check Box 30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402" r:id="rId309" name="Check Box 30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403" r:id="rId310" name="Check Box 30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404" r:id="rId311" name="Check Box 30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405" r:id="rId312" name="Check Box 30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406" r:id="rId313" name="Check Box 31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407" r:id="rId314" name="Check Box 31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08" r:id="rId315" name="Check Box 312">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09" r:id="rId316" name="Check Box 31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10" r:id="rId317" name="Check Box 31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11" r:id="rId318" name="Check Box 31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12" r:id="rId319" name="Check Box 31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13" r:id="rId320" name="Check Box 31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14" r:id="rId321" name="Check Box 31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15" r:id="rId322" name="Check Box 31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16" r:id="rId323" name="Check Box 320">
              <controlPr defaultSize="0" autoFill="0" autoLine="0" autoPict="0">
                <anchor moveWithCells="1">
                  <from>
                    <xdr:col>0</xdr:col>
                    <xdr:colOff>0</xdr:colOff>
                    <xdr:row>27</xdr:row>
                    <xdr:rowOff>0</xdr:rowOff>
                  </from>
                  <to>
                    <xdr:col>0</xdr:col>
                    <xdr:colOff>317500</xdr:colOff>
                    <xdr:row>29</xdr:row>
                    <xdr:rowOff>88900</xdr:rowOff>
                  </to>
                </anchor>
              </controlPr>
            </control>
          </mc:Choice>
        </mc:AlternateContent>
        <mc:AlternateContent xmlns:mc="http://schemas.openxmlformats.org/markup-compatibility/2006">
          <mc:Choice Requires="x14">
            <control shapeId="4417" r:id="rId324" name="Check Box 32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418" r:id="rId325" name="Check Box 322">
              <controlPr defaultSize="0" autoFill="0" autoLine="0" autoPict="0">
                <anchor moveWithCells="1">
                  <from>
                    <xdr:col>0</xdr:col>
                    <xdr:colOff>0</xdr:colOff>
                    <xdr:row>27</xdr:row>
                    <xdr:rowOff>0</xdr:rowOff>
                  </from>
                  <to>
                    <xdr:col>0</xdr:col>
                    <xdr:colOff>317500</xdr:colOff>
                    <xdr:row>28</xdr:row>
                    <xdr:rowOff>50800</xdr:rowOff>
                  </to>
                </anchor>
              </controlPr>
            </control>
          </mc:Choice>
        </mc:AlternateContent>
        <mc:AlternateContent xmlns:mc="http://schemas.openxmlformats.org/markup-compatibility/2006">
          <mc:Choice Requires="x14">
            <control shapeId="4419" r:id="rId326" name="Check Box 32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20" r:id="rId327" name="Check Box 324">
              <controlPr defaultSize="0" autoFill="0" autoLine="0" autoPict="0">
                <anchor moveWithCells="1">
                  <from>
                    <xdr:col>0</xdr:col>
                    <xdr:colOff>0</xdr:colOff>
                    <xdr:row>27</xdr:row>
                    <xdr:rowOff>0</xdr:rowOff>
                  </from>
                  <to>
                    <xdr:col>0</xdr:col>
                    <xdr:colOff>317500</xdr:colOff>
                    <xdr:row>29</xdr:row>
                    <xdr:rowOff>88900</xdr:rowOff>
                  </to>
                </anchor>
              </controlPr>
            </control>
          </mc:Choice>
        </mc:AlternateContent>
        <mc:AlternateContent xmlns:mc="http://schemas.openxmlformats.org/markup-compatibility/2006">
          <mc:Choice Requires="x14">
            <control shapeId="4421" r:id="rId328" name="Check Box 32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22" r:id="rId329" name="Check Box 32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23" r:id="rId330" name="Check Box 32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24" r:id="rId331" name="Check Box 32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25" r:id="rId332" name="Check Box 32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26" r:id="rId333" name="Check Box 330">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27" r:id="rId334" name="Check Box 33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28" r:id="rId335" name="Check Box 33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429" r:id="rId336" name="Check Box 33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0" r:id="rId337" name="Check Box 33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1" r:id="rId338" name="Check Box 33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2" r:id="rId339" name="Check Box 33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3" r:id="rId340" name="Check Box 33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4" r:id="rId341" name="Check Box 33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5" r:id="rId342" name="Check Box 33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6" r:id="rId343" name="Check Box 340">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7" r:id="rId344" name="Check Box 34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8" r:id="rId345" name="Check Box 342">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9" r:id="rId346" name="Check Box 34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0" r:id="rId347" name="Check Box 34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1" r:id="rId348" name="Check Box 34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2" r:id="rId349" name="Check Box 34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3" r:id="rId350" name="Check Box 34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4" r:id="rId351" name="Check Box 34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5" r:id="rId352" name="Check Box 34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6" r:id="rId353" name="Check Box 350">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7" r:id="rId354" name="Check Box 35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8" r:id="rId355" name="Check Box 352">
              <controlPr defaultSize="0" autoFill="0" autoLine="0" autoPict="0">
                <anchor moveWithCells="1">
                  <from>
                    <xdr:col>0</xdr:col>
                    <xdr:colOff>0</xdr:colOff>
                    <xdr:row>27</xdr:row>
                    <xdr:rowOff>0</xdr:rowOff>
                  </from>
                  <to>
                    <xdr:col>0</xdr:col>
                    <xdr:colOff>317500</xdr:colOff>
                    <xdr:row>29</xdr:row>
                    <xdr:rowOff>88900</xdr:rowOff>
                  </to>
                </anchor>
              </controlPr>
            </control>
          </mc:Choice>
        </mc:AlternateContent>
        <mc:AlternateContent xmlns:mc="http://schemas.openxmlformats.org/markup-compatibility/2006">
          <mc:Choice Requires="x14">
            <control shapeId="4449" r:id="rId356" name="Check Box 35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450" r:id="rId357" name="Check Box 354">
              <controlPr defaultSize="0" autoFill="0" autoLine="0" autoPict="0">
                <anchor moveWithCells="1">
                  <from>
                    <xdr:col>0</xdr:col>
                    <xdr:colOff>0</xdr:colOff>
                    <xdr:row>27</xdr:row>
                    <xdr:rowOff>0</xdr:rowOff>
                  </from>
                  <to>
                    <xdr:col>0</xdr:col>
                    <xdr:colOff>317500</xdr:colOff>
                    <xdr:row>28</xdr:row>
                    <xdr:rowOff>50800</xdr:rowOff>
                  </to>
                </anchor>
              </controlPr>
            </control>
          </mc:Choice>
        </mc:AlternateContent>
        <mc:AlternateContent xmlns:mc="http://schemas.openxmlformats.org/markup-compatibility/2006">
          <mc:Choice Requires="x14">
            <control shapeId="4451" r:id="rId358" name="Check Box 35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52" r:id="rId359" name="Check Box 356">
              <controlPr defaultSize="0" autoFill="0" autoLine="0" autoPict="0">
                <anchor moveWithCells="1">
                  <from>
                    <xdr:col>0</xdr:col>
                    <xdr:colOff>0</xdr:colOff>
                    <xdr:row>27</xdr:row>
                    <xdr:rowOff>0</xdr:rowOff>
                  </from>
                  <to>
                    <xdr:col>0</xdr:col>
                    <xdr:colOff>317500</xdr:colOff>
                    <xdr:row>29</xdr:row>
                    <xdr:rowOff>88900</xdr:rowOff>
                  </to>
                </anchor>
              </controlPr>
            </control>
          </mc:Choice>
        </mc:AlternateContent>
        <mc:AlternateContent xmlns:mc="http://schemas.openxmlformats.org/markup-compatibility/2006">
          <mc:Choice Requires="x14">
            <control shapeId="4453" r:id="rId360" name="Check Box 35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54" r:id="rId361" name="Check Box 35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55" r:id="rId362" name="Check Box 35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56" r:id="rId363" name="Check Box 360">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57" r:id="rId364" name="Check Box 36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58" r:id="rId365" name="Check Box 362">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59" r:id="rId366" name="Check Box 36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0" r:id="rId367" name="Check Box 364">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461" r:id="rId368" name="Check Box 36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2" r:id="rId369" name="Check Box 36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3" r:id="rId370" name="Check Box 36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4" r:id="rId371" name="Check Box 36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5" r:id="rId372" name="Check Box 36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6" r:id="rId373" name="Check Box 370">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7" r:id="rId374" name="Check Box 37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8" r:id="rId375" name="Check Box 372">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9" r:id="rId376" name="Check Box 37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70" r:id="rId377" name="Check Box 37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71" r:id="rId378" name="Check Box 37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72" r:id="rId379" name="Check Box 37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73" r:id="rId380" name="Check Box 37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74" r:id="rId381" name="Check Box 37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75" r:id="rId382" name="Check Box 379">
              <controlPr defaultSize="0" autoFill="0" autoLine="0" autoPict="0">
                <anchor moveWithCells="1">
                  <from>
                    <xdr:col>0</xdr:col>
                    <xdr:colOff>0</xdr:colOff>
                    <xdr:row>27</xdr:row>
                    <xdr:rowOff>0</xdr:rowOff>
                  </from>
                  <to>
                    <xdr:col>0</xdr:col>
                    <xdr:colOff>317500</xdr:colOff>
                    <xdr:row>29</xdr:row>
                    <xdr:rowOff>88900</xdr:rowOff>
                  </to>
                </anchor>
              </controlPr>
            </control>
          </mc:Choice>
        </mc:AlternateContent>
        <mc:AlternateContent xmlns:mc="http://schemas.openxmlformats.org/markup-compatibility/2006">
          <mc:Choice Requires="x14">
            <control shapeId="4476" r:id="rId383" name="Check Box 38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477" r:id="rId384" name="Check Box 381">
              <controlPr defaultSize="0" autoFill="0" autoLine="0" autoPict="0">
                <anchor moveWithCells="1">
                  <from>
                    <xdr:col>0</xdr:col>
                    <xdr:colOff>0</xdr:colOff>
                    <xdr:row>27</xdr:row>
                    <xdr:rowOff>0</xdr:rowOff>
                  </from>
                  <to>
                    <xdr:col>0</xdr:col>
                    <xdr:colOff>317500</xdr:colOff>
                    <xdr:row>28</xdr:row>
                    <xdr:rowOff>50800</xdr:rowOff>
                  </to>
                </anchor>
              </controlPr>
            </control>
          </mc:Choice>
        </mc:AlternateContent>
        <mc:AlternateContent xmlns:mc="http://schemas.openxmlformats.org/markup-compatibility/2006">
          <mc:Choice Requires="x14">
            <control shapeId="4478" r:id="rId385" name="Check Box 382">
              <controlPr defaultSize="0" autoFill="0" autoLine="0" autoPict="0">
                <anchor moveWithCells="1">
                  <from>
                    <xdr:col>0</xdr:col>
                    <xdr:colOff>0</xdr:colOff>
                    <xdr:row>27</xdr:row>
                    <xdr:rowOff>0</xdr:rowOff>
                  </from>
                  <to>
                    <xdr:col>0</xdr:col>
                    <xdr:colOff>317500</xdr:colOff>
                    <xdr:row>29</xdr:row>
                    <xdr:rowOff>88900</xdr:rowOff>
                  </to>
                </anchor>
              </controlPr>
            </control>
          </mc:Choice>
        </mc:AlternateContent>
        <mc:AlternateContent xmlns:mc="http://schemas.openxmlformats.org/markup-compatibility/2006">
          <mc:Choice Requires="x14">
            <control shapeId="4479" r:id="rId386" name="Check Box 38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0" r:id="rId387" name="Check Box 38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1" r:id="rId388" name="Check Box 38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2" r:id="rId389" name="Check Box 38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3" r:id="rId390" name="Check Box 38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4" r:id="rId391" name="Check Box 38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5" r:id="rId392" name="Check Box 38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6" r:id="rId393" name="Check Box 39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487" r:id="rId394" name="Check Box 39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8" r:id="rId395" name="Check Box 392">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9" r:id="rId396" name="Check Box 39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90" r:id="rId397" name="Check Box 39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91" r:id="rId398" name="Check Box 39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92" r:id="rId399" name="Check Box 39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93" r:id="rId400" name="Check Box 39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94" r:id="rId401" name="Check Box 39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95" r:id="rId402" name="Check Box 39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96" r:id="rId403" name="Check Box 400">
              <controlPr defaultSize="0" autoFill="0" autoLine="0" autoPict="0">
                <anchor moveWithCells="1">
                  <from>
                    <xdr:col>0</xdr:col>
                    <xdr:colOff>0</xdr:colOff>
                    <xdr:row>27</xdr:row>
                    <xdr:rowOff>0</xdr:rowOff>
                  </from>
                  <to>
                    <xdr:col>0</xdr:col>
                    <xdr:colOff>317500</xdr:colOff>
                    <xdr:row>28</xdr:row>
                    <xdr:rowOff>88900</xdr:rowOff>
                  </to>
                </anchor>
              </controlPr>
            </control>
          </mc:Choice>
        </mc:AlternateContent>
        <mc:AlternateContent xmlns:mc="http://schemas.openxmlformats.org/markup-compatibility/2006">
          <mc:Choice Requires="x14">
            <control shapeId="4497" r:id="rId404" name="Check Box 401">
              <controlPr defaultSize="0" autoFill="0" autoLine="0" autoPict="0">
                <anchor moveWithCells="1">
                  <from>
                    <xdr:col>0</xdr:col>
                    <xdr:colOff>0</xdr:colOff>
                    <xdr:row>27</xdr:row>
                    <xdr:rowOff>0</xdr:rowOff>
                  </from>
                  <to>
                    <xdr:col>0</xdr:col>
                    <xdr:colOff>317500</xdr:colOff>
                    <xdr:row>28</xdr:row>
                    <xdr:rowOff>88900</xdr:rowOff>
                  </to>
                </anchor>
              </controlPr>
            </control>
          </mc:Choice>
        </mc:AlternateContent>
        <mc:AlternateContent xmlns:mc="http://schemas.openxmlformats.org/markup-compatibility/2006">
          <mc:Choice Requires="x14">
            <control shapeId="4498" r:id="rId405" name="Check Box 402">
              <controlPr defaultSize="0" autoFill="0" autoLine="0" autoPict="0">
                <anchor moveWithCells="1">
                  <from>
                    <xdr:col>0</xdr:col>
                    <xdr:colOff>0</xdr:colOff>
                    <xdr:row>27</xdr:row>
                    <xdr:rowOff>0</xdr:rowOff>
                  </from>
                  <to>
                    <xdr:col>0</xdr:col>
                    <xdr:colOff>317500</xdr:colOff>
                    <xdr:row>28</xdr:row>
                    <xdr:rowOff>88900</xdr:rowOff>
                  </to>
                </anchor>
              </controlPr>
            </control>
          </mc:Choice>
        </mc:AlternateContent>
        <mc:AlternateContent xmlns:mc="http://schemas.openxmlformats.org/markup-compatibility/2006">
          <mc:Choice Requires="x14">
            <control shapeId="4499" r:id="rId406" name="Check Box 40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0" r:id="rId407" name="Check Box 40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1" r:id="rId408" name="Check Box 40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2" r:id="rId409" name="Check Box 40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3" r:id="rId410" name="Check Box 40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4" r:id="rId411" name="Check Box 40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5" r:id="rId412" name="Check Box 40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6" r:id="rId413" name="Check Box 410">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7" r:id="rId414" name="Check Box 41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8" r:id="rId415" name="Check Box 412">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9" r:id="rId416" name="Check Box 41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0" r:id="rId417" name="Check Box 41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1" r:id="rId418" name="Check Box 41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2" r:id="rId419" name="Check Box 41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3" r:id="rId420" name="Check Box 41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4" r:id="rId421" name="Check Box 41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5" r:id="rId422" name="Check Box 41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6" r:id="rId423" name="Check Box 420">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7" r:id="rId424" name="Check Box 42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8" r:id="rId425" name="Check Box 422">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9" r:id="rId426" name="Check Box 42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20" r:id="rId427" name="Check Box 42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21" r:id="rId428" name="Check Box 42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22" r:id="rId429" name="Check Box 42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23" r:id="rId430" name="Check Box 42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24" r:id="rId431" name="Check Box 42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25" r:id="rId432" name="Check Box 42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26" r:id="rId433" name="Check Box 43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27" r:id="rId434" name="Check Box 43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28" r:id="rId435" name="Check Box 43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29" r:id="rId436" name="Check Box 433">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30" r:id="rId437" name="Check Box 434">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31" r:id="rId438" name="Check Box 43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32" r:id="rId439" name="Check Box 43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33" r:id="rId440" name="Check Box 437">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34" r:id="rId441" name="Check Box 43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35" r:id="rId442" name="Check Box 439">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36" r:id="rId443" name="Check Box 440">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37" r:id="rId444" name="Check Box 441">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38" r:id="rId445" name="Check Box 44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39" r:id="rId446" name="Check Box 443">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40" r:id="rId447" name="Check Box 444">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41" r:id="rId448" name="Check Box 44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42" r:id="rId449" name="Check Box 446">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43" r:id="rId450" name="Check Box 44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44" r:id="rId451" name="Check Box 44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45" r:id="rId452" name="Check Box 44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46" r:id="rId453" name="Check Box 45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47" r:id="rId454" name="Check Box 451">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48" r:id="rId455" name="Check Box 45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49" r:id="rId456" name="Check Box 453">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0" r:id="rId457" name="Check Box 454">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1" r:id="rId458" name="Check Box 45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2" r:id="rId459" name="Check Box 456">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3" r:id="rId460" name="Check Box 457">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4" r:id="rId461" name="Check Box 45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5" r:id="rId462" name="Check Box 459">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6" r:id="rId463" name="Check Box 46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7" r:id="rId464" name="Check Box 461">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8" r:id="rId465" name="Check Box 46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9" r:id="rId466" name="Check Box 46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60" r:id="rId467" name="Check Box 46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61" r:id="rId468" name="Check Box 46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62" r:id="rId469" name="Check Box 46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63" r:id="rId470" name="Check Box 46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64" r:id="rId471" name="Check Box 46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65" r:id="rId472" name="Check Box 46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66" r:id="rId473" name="Check Box 47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67" r:id="rId474" name="Check Box 47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68" r:id="rId475" name="Check Box 47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69" r:id="rId476" name="Check Box 47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70" r:id="rId477" name="Check Box 47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71" r:id="rId478" name="Check Box 47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72" r:id="rId479" name="Check Box 476">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73" r:id="rId480" name="Check Box 477">
              <controlPr defaultSize="0" autoFill="0" autoLine="0" autoPict="0">
                <anchor moveWithCells="1">
                  <from>
                    <xdr:col>0</xdr:col>
                    <xdr:colOff>0</xdr:colOff>
                    <xdr:row>27</xdr:row>
                    <xdr:rowOff>0</xdr:rowOff>
                  </from>
                  <to>
                    <xdr:col>0</xdr:col>
                    <xdr:colOff>317500</xdr:colOff>
                    <xdr:row>28</xdr:row>
                    <xdr:rowOff>38100</xdr:rowOff>
                  </to>
                </anchor>
              </controlPr>
            </control>
          </mc:Choice>
        </mc:AlternateContent>
        <mc:AlternateContent xmlns:mc="http://schemas.openxmlformats.org/markup-compatibility/2006">
          <mc:Choice Requires="x14">
            <control shapeId="4574" r:id="rId481" name="Check Box 47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75" r:id="rId482" name="Check Box 47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76" r:id="rId483" name="Check Box 48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77" r:id="rId484" name="Check Box 48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78" r:id="rId485" name="Check Box 48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79" r:id="rId486" name="Check Box 48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0" r:id="rId487" name="Check Box 48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1" r:id="rId488" name="Check Box 48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2" r:id="rId489" name="Check Box 48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3" r:id="rId490" name="Check Box 48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584" r:id="rId491" name="Check Box 48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5" r:id="rId492" name="Check Box 48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6" r:id="rId493" name="Check Box 49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7" r:id="rId494" name="Check Box 49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8" r:id="rId495" name="Check Box 49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9" r:id="rId496" name="Check Box 49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0" r:id="rId497" name="Check Box 49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1" r:id="rId498" name="Check Box 49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2" r:id="rId499" name="Check Box 49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3" r:id="rId500" name="Check Box 49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4" r:id="rId501" name="Check Box 49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5" r:id="rId502" name="Check Box 49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6" r:id="rId503" name="Check Box 50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7" r:id="rId504" name="Check Box 50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8" r:id="rId505" name="Check Box 50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9" r:id="rId506" name="Check Box 50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00" r:id="rId507" name="Check Box 50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01" r:id="rId508" name="Check Box 50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02" r:id="rId509" name="Check Box 50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03" r:id="rId510" name="Check Box 50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04" r:id="rId511" name="Check Box 50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605" r:id="rId512" name="Check Box 509">
              <controlPr defaultSize="0" autoFill="0" autoLine="0" autoPict="0">
                <anchor moveWithCells="1">
                  <from>
                    <xdr:col>0</xdr:col>
                    <xdr:colOff>0</xdr:colOff>
                    <xdr:row>27</xdr:row>
                    <xdr:rowOff>0</xdr:rowOff>
                  </from>
                  <to>
                    <xdr:col>0</xdr:col>
                    <xdr:colOff>317500</xdr:colOff>
                    <xdr:row>28</xdr:row>
                    <xdr:rowOff>38100</xdr:rowOff>
                  </to>
                </anchor>
              </controlPr>
            </control>
          </mc:Choice>
        </mc:AlternateContent>
        <mc:AlternateContent xmlns:mc="http://schemas.openxmlformats.org/markup-compatibility/2006">
          <mc:Choice Requires="x14">
            <control shapeId="4606" r:id="rId513" name="Check Box 51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07" r:id="rId514" name="Check Box 51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08" r:id="rId515" name="Check Box 51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09" r:id="rId516" name="Check Box 51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0" r:id="rId517" name="Check Box 51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1" r:id="rId518" name="Check Box 51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2" r:id="rId519" name="Check Box 51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3" r:id="rId520" name="Check Box 51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4" r:id="rId521" name="Check Box 51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5" r:id="rId522" name="Check Box 51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16" r:id="rId523" name="Check Box 52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7" r:id="rId524" name="Check Box 52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8" r:id="rId525" name="Check Box 52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9" r:id="rId526" name="Check Box 52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0" r:id="rId527" name="Check Box 52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1" r:id="rId528" name="Check Box 52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2" r:id="rId529" name="Check Box 52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3" r:id="rId530" name="Check Box 52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4" r:id="rId531" name="Check Box 52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5" r:id="rId532" name="Check Box 52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6" r:id="rId533" name="Check Box 53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7" r:id="rId534" name="Check Box 53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8" r:id="rId535" name="Check Box 53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9" r:id="rId536" name="Check Box 53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30" r:id="rId537" name="Check Box 53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31" r:id="rId538" name="Check Box 53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632" r:id="rId539" name="Check Box 536">
              <controlPr defaultSize="0" autoFill="0" autoLine="0" autoPict="0">
                <anchor moveWithCells="1">
                  <from>
                    <xdr:col>0</xdr:col>
                    <xdr:colOff>0</xdr:colOff>
                    <xdr:row>27</xdr:row>
                    <xdr:rowOff>0</xdr:rowOff>
                  </from>
                  <to>
                    <xdr:col>0</xdr:col>
                    <xdr:colOff>317500</xdr:colOff>
                    <xdr:row>28</xdr:row>
                    <xdr:rowOff>38100</xdr:rowOff>
                  </to>
                </anchor>
              </controlPr>
            </control>
          </mc:Choice>
        </mc:AlternateContent>
        <mc:AlternateContent xmlns:mc="http://schemas.openxmlformats.org/markup-compatibility/2006">
          <mc:Choice Requires="x14">
            <control shapeId="4633" r:id="rId540" name="Check Box 53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34" r:id="rId541" name="Check Box 53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35" r:id="rId542" name="Check Box 53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36" r:id="rId543" name="Check Box 54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37" r:id="rId544" name="Check Box 54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38" r:id="rId545" name="Check Box 54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39" r:id="rId546" name="Check Box 54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0" r:id="rId547" name="Check Box 54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1" r:id="rId548" name="Check Box 54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42" r:id="rId549" name="Check Box 54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3" r:id="rId550" name="Check Box 54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4" r:id="rId551" name="Check Box 54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5" r:id="rId552" name="Check Box 54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6" r:id="rId553" name="Check Box 55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7" r:id="rId554" name="Check Box 55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8" r:id="rId555" name="Check Box 55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9" r:id="rId556" name="Check Box 55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50" r:id="rId557" name="Check Box 55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51" r:id="rId558" name="Check Box 555">
              <controlPr defaultSize="0" autoFill="0" autoLine="0" autoPict="0">
                <anchor moveWithCells="1">
                  <from>
                    <xdr:col>0</xdr:col>
                    <xdr:colOff>0</xdr:colOff>
                    <xdr:row>27</xdr:row>
                    <xdr:rowOff>0</xdr:rowOff>
                  </from>
                  <to>
                    <xdr:col>0</xdr:col>
                    <xdr:colOff>317500</xdr:colOff>
                    <xdr:row>28</xdr:row>
                    <xdr:rowOff>76200</xdr:rowOff>
                  </to>
                </anchor>
              </controlPr>
            </control>
          </mc:Choice>
        </mc:AlternateContent>
        <mc:AlternateContent xmlns:mc="http://schemas.openxmlformats.org/markup-compatibility/2006">
          <mc:Choice Requires="x14">
            <control shapeId="4652" r:id="rId559" name="Check Box 556">
              <controlPr defaultSize="0" autoFill="0" autoLine="0" autoPict="0">
                <anchor moveWithCells="1">
                  <from>
                    <xdr:col>0</xdr:col>
                    <xdr:colOff>0</xdr:colOff>
                    <xdr:row>27</xdr:row>
                    <xdr:rowOff>0</xdr:rowOff>
                  </from>
                  <to>
                    <xdr:col>0</xdr:col>
                    <xdr:colOff>317500</xdr:colOff>
                    <xdr:row>28</xdr:row>
                    <xdr:rowOff>76200</xdr:rowOff>
                  </to>
                </anchor>
              </controlPr>
            </control>
          </mc:Choice>
        </mc:AlternateContent>
        <mc:AlternateContent xmlns:mc="http://schemas.openxmlformats.org/markup-compatibility/2006">
          <mc:Choice Requires="x14">
            <control shapeId="4653" r:id="rId560" name="Check Box 557">
              <controlPr defaultSize="0" autoFill="0" autoLine="0" autoPict="0">
                <anchor moveWithCells="1">
                  <from>
                    <xdr:col>0</xdr:col>
                    <xdr:colOff>0</xdr:colOff>
                    <xdr:row>27</xdr:row>
                    <xdr:rowOff>0</xdr:rowOff>
                  </from>
                  <to>
                    <xdr:col>0</xdr:col>
                    <xdr:colOff>317500</xdr:colOff>
                    <xdr:row>28</xdr:row>
                    <xdr:rowOff>76200</xdr:rowOff>
                  </to>
                </anchor>
              </controlPr>
            </control>
          </mc:Choice>
        </mc:AlternateContent>
        <mc:AlternateContent xmlns:mc="http://schemas.openxmlformats.org/markup-compatibility/2006">
          <mc:Choice Requires="x14">
            <control shapeId="4654" r:id="rId561" name="Check Box 55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55" r:id="rId562" name="Check Box 55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56" r:id="rId563" name="Check Box 56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57" r:id="rId564" name="Check Box 56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58" r:id="rId565" name="Check Box 56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59" r:id="rId566" name="Check Box 56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0" r:id="rId567" name="Check Box 56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1" r:id="rId568" name="Check Box 56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2" r:id="rId569" name="Check Box 56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3" r:id="rId570" name="Check Box 56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4" r:id="rId571" name="Check Box 56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5" r:id="rId572" name="Check Box 56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6" r:id="rId573" name="Check Box 57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7" r:id="rId574" name="Check Box 57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8" r:id="rId575" name="Check Box 57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9" r:id="rId576" name="Check Box 57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0" r:id="rId577" name="Check Box 57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1" r:id="rId578" name="Check Box 57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2" r:id="rId579" name="Check Box 57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3" r:id="rId580" name="Check Box 57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4" r:id="rId581" name="Check Box 57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5" r:id="rId582" name="Check Box 57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6" r:id="rId583" name="Check Box 58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7" r:id="rId584" name="Check Box 58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8" r:id="rId585" name="Check Box 58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9" r:id="rId586" name="Check Box 58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80" r:id="rId587" name="Check Box 58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81" r:id="rId588" name="Check Box 58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82" r:id="rId589" name="Check Box 58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83" r:id="rId590" name="Check Box 58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84" r:id="rId591" name="Check Box 58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85" r:id="rId592" name="Check Box 58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86" r:id="rId593" name="Check Box 59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87" r:id="rId594" name="Check Box 59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88" r:id="rId595" name="Check Box 59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89" r:id="rId596" name="Check Box 59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90" r:id="rId597" name="Check Box 59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91" r:id="rId598" name="Check Box 59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92" r:id="rId599" name="Check Box 59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93" r:id="rId600" name="Check Box 59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94" r:id="rId601" name="Check Box 59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95" r:id="rId602" name="Check Box 59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96" r:id="rId603" name="Check Box 60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97" r:id="rId604" name="Check Box 60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98" r:id="rId605" name="Check Box 60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99" r:id="rId606" name="Check Box 60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0" r:id="rId607" name="Check Box 60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701" r:id="rId608" name="Check Box 60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2" r:id="rId609" name="Check Box 60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3" r:id="rId610" name="Check Box 60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4" r:id="rId611" name="Check Box 60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5" r:id="rId612" name="Check Box 60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6" r:id="rId613" name="Check Box 61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7" r:id="rId614" name="Check Box 61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8" r:id="rId615" name="Check Box 61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9" r:id="rId616" name="Check Box 61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10" r:id="rId617" name="Check Box 61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11" r:id="rId618" name="Check Box 61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12" r:id="rId619" name="Check Box 61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13" r:id="rId620" name="Check Box 61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14" r:id="rId621" name="Check Box 61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715" r:id="rId622" name="Check Box 61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716" r:id="rId623" name="Check Box 62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717" r:id="rId624" name="Check Box 621">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18" r:id="rId625" name="Check Box 62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19" r:id="rId626" name="Check Box 623">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20" r:id="rId627" name="Check Box 624">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21" r:id="rId628" name="Check Box 62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22" r:id="rId629" name="Check Box 626">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23" r:id="rId630" name="Check Box 627">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24" r:id="rId631" name="Check Box 62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25" r:id="rId632" name="Check Box 629">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26" r:id="rId633" name="Check Box 63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27" r:id="rId634" name="Check Box 63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28" r:id="rId635" name="Check Box 632">
              <controlPr defaultSize="0" autoFill="0" autoLine="0" autoPict="0">
                <anchor moveWithCells="1">
                  <from>
                    <xdr:col>0</xdr:col>
                    <xdr:colOff>0</xdr:colOff>
                    <xdr:row>27</xdr:row>
                    <xdr:rowOff>0</xdr:rowOff>
                  </from>
                  <to>
                    <xdr:col>0</xdr:col>
                    <xdr:colOff>317500</xdr:colOff>
                    <xdr:row>28</xdr:row>
                    <xdr:rowOff>31750</xdr:rowOff>
                  </to>
                </anchor>
              </controlPr>
            </control>
          </mc:Choice>
        </mc:AlternateContent>
        <mc:AlternateContent xmlns:mc="http://schemas.openxmlformats.org/markup-compatibility/2006">
          <mc:Choice Requires="x14">
            <control shapeId="4729" r:id="rId636" name="Check Box 633">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0" r:id="rId637" name="Check Box 634">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1" r:id="rId638" name="Check Box 63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2" r:id="rId639" name="Check Box 636">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3" r:id="rId640" name="Check Box 637">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4" r:id="rId641" name="Check Box 63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5" r:id="rId642" name="Check Box 639">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6" r:id="rId643" name="Check Box 64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7" r:id="rId644" name="Check Box 641">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8" r:id="rId645" name="Check Box 642">
              <controlPr defaultSize="0" autoFill="0" autoLine="0" autoPict="0">
                <anchor moveWithCells="1">
                  <from>
                    <xdr:col>0</xdr:col>
                    <xdr:colOff>0</xdr:colOff>
                    <xdr:row>27</xdr:row>
                    <xdr:rowOff>0</xdr:rowOff>
                  </from>
                  <to>
                    <xdr:col>0</xdr:col>
                    <xdr:colOff>317500</xdr:colOff>
                    <xdr:row>28</xdr:row>
                    <xdr:rowOff>107950</xdr:rowOff>
                  </to>
                </anchor>
              </controlPr>
            </control>
          </mc:Choice>
        </mc:AlternateContent>
        <mc:AlternateContent xmlns:mc="http://schemas.openxmlformats.org/markup-compatibility/2006">
          <mc:Choice Requires="x14">
            <control shapeId="4739" r:id="rId646" name="Check Box 643">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0" r:id="rId647" name="Check Box 644">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1" r:id="rId648" name="Check Box 64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2" r:id="rId649" name="Check Box 646">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3" r:id="rId650" name="Check Box 647">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4" r:id="rId651" name="Check Box 64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5" r:id="rId652" name="Check Box 649">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6" r:id="rId653" name="Check Box 65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7" r:id="rId654" name="Check Box 651">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8" r:id="rId655" name="Check Box 65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9" r:id="rId656" name="Check Box 653">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0" r:id="rId657" name="Check Box 654">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1" r:id="rId658" name="Check Box 65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2" r:id="rId659" name="Check Box 656">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3" r:id="rId660" name="Check Box 657">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4" r:id="rId661" name="Check Box 65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5" r:id="rId662" name="Check Box 659">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6" r:id="rId663" name="Check Box 66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7" r:id="rId664" name="Check Box 661">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8" r:id="rId665" name="Check Box 66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9" r:id="rId666" name="Check Box 66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60" r:id="rId667" name="Check Box 664">
              <controlPr defaultSize="0" autoFill="0" autoLine="0" autoPict="0">
                <anchor moveWithCells="1">
                  <from>
                    <xdr:col>0</xdr:col>
                    <xdr:colOff>0</xdr:colOff>
                    <xdr:row>27</xdr:row>
                    <xdr:rowOff>0</xdr:rowOff>
                  </from>
                  <to>
                    <xdr:col>0</xdr:col>
                    <xdr:colOff>317500</xdr:colOff>
                    <xdr:row>28</xdr:row>
                    <xdr:rowOff>31750</xdr:rowOff>
                  </to>
                </anchor>
              </controlPr>
            </control>
          </mc:Choice>
        </mc:AlternateContent>
        <mc:AlternateContent xmlns:mc="http://schemas.openxmlformats.org/markup-compatibility/2006">
          <mc:Choice Requires="x14">
            <control shapeId="4761" r:id="rId668" name="Check Box 66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62" r:id="rId669" name="Check Box 666">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63" r:id="rId670" name="Check Box 667">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64" r:id="rId671" name="Check Box 66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65" r:id="rId672" name="Check Box 669">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66" r:id="rId673" name="Check Box 67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67" r:id="rId674" name="Check Box 671">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68" r:id="rId675" name="Check Box 67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69" r:id="rId676" name="Check Box 673">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70" r:id="rId677" name="Check Box 674">
              <controlPr defaultSize="0" autoFill="0" autoLine="0" autoPict="0">
                <anchor moveWithCells="1">
                  <from>
                    <xdr:col>0</xdr:col>
                    <xdr:colOff>0</xdr:colOff>
                    <xdr:row>27</xdr:row>
                    <xdr:rowOff>0</xdr:rowOff>
                  </from>
                  <to>
                    <xdr:col>0</xdr:col>
                    <xdr:colOff>317500</xdr:colOff>
                    <xdr:row>28</xdr:row>
                    <xdr:rowOff>107950</xdr:rowOff>
                  </to>
                </anchor>
              </controlPr>
            </control>
          </mc:Choice>
        </mc:AlternateContent>
        <mc:AlternateContent xmlns:mc="http://schemas.openxmlformats.org/markup-compatibility/2006">
          <mc:Choice Requires="x14">
            <control shapeId="4771" r:id="rId678" name="Check Box 67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FA0B4-D526-4954-97F8-BE51D9B5C0C3}">
  <sheetPr>
    <tabColor rgb="FF00B0F0"/>
  </sheetPr>
  <dimension ref="A1:AD88"/>
  <sheetViews>
    <sheetView showGridLines="0" view="pageBreakPreview" zoomScale="85" zoomScaleNormal="100" zoomScaleSheetLayoutView="85" workbookViewId="0">
      <selection activeCell="E20" sqref="E20:H20"/>
    </sheetView>
  </sheetViews>
  <sheetFormatPr defaultColWidth="9.1796875" defaultRowHeight="14.5" zeroHeight="1" x14ac:dyDescent="0.35"/>
  <cols>
    <col min="1" max="1" width="4.7265625" style="2" customWidth="1"/>
    <col min="2" max="2" width="3.7265625" style="2" customWidth="1"/>
    <col min="3" max="3" width="4.7265625" style="2" customWidth="1"/>
    <col min="4" max="4" width="5.26953125" style="2" customWidth="1"/>
    <col min="5" max="6" width="4.26953125" style="2" customWidth="1"/>
    <col min="7" max="7" width="4.81640625" style="2" customWidth="1"/>
    <col min="8" max="8" width="11.26953125" style="2" customWidth="1"/>
    <col min="9" max="9" width="6.26953125" style="2" customWidth="1"/>
    <col min="10" max="10" width="7.26953125" style="2" customWidth="1"/>
    <col min="11" max="12" width="4.7265625" style="2" customWidth="1"/>
    <col min="13" max="14" width="6.7265625" style="2" customWidth="1"/>
    <col min="15" max="15" width="2.54296875" style="2" customWidth="1"/>
    <col min="16" max="16" width="13.7265625" style="2" customWidth="1"/>
    <col min="17" max="17" width="6.453125" style="2" customWidth="1"/>
    <col min="18" max="18" width="5.54296875" style="2" customWidth="1"/>
    <col min="19" max="19" width="3.7265625" style="2" customWidth="1"/>
    <col min="20" max="20" width="5.54296875" style="2" customWidth="1"/>
    <col min="21" max="21" width="3.7265625" style="2" customWidth="1"/>
    <col min="22" max="22" width="5.54296875" style="2" customWidth="1"/>
    <col min="23" max="23" width="9.1796875" style="2" customWidth="1"/>
    <col min="24" max="24" width="14.54296875" style="2" hidden="1" customWidth="1"/>
    <col min="25" max="25" width="15.7265625" style="2" hidden="1" customWidth="1"/>
    <col min="26" max="26" width="8.7265625" style="2" hidden="1" customWidth="1"/>
    <col min="27" max="27" width="12.453125" style="2" hidden="1" customWidth="1"/>
    <col min="28" max="28" width="16" style="2" hidden="1" customWidth="1"/>
    <col min="29" max="29" width="20.7265625" style="2" hidden="1" customWidth="1"/>
    <col min="30" max="30" width="23.453125" style="2" hidden="1" customWidth="1"/>
    <col min="31" max="34" width="9.1796875" style="2" customWidth="1"/>
    <col min="35" max="16384" width="9.1796875" style="2"/>
  </cols>
  <sheetData>
    <row r="1" spans="1:29" ht="15.5" x14ac:dyDescent="0.35">
      <c r="A1" s="578" t="s">
        <v>121</v>
      </c>
      <c r="B1" s="579"/>
      <c r="C1" s="579"/>
      <c r="D1" s="579"/>
      <c r="E1" s="579"/>
      <c r="F1" s="579"/>
      <c r="G1" s="579"/>
      <c r="H1" s="579"/>
      <c r="I1" s="579"/>
      <c r="J1" s="579"/>
      <c r="K1" s="579"/>
      <c r="L1" s="579"/>
      <c r="M1" s="579"/>
      <c r="N1" s="579"/>
      <c r="O1" s="579"/>
      <c r="P1" s="579"/>
      <c r="Q1" s="579"/>
      <c r="R1" s="579"/>
      <c r="S1" s="579"/>
      <c r="T1" s="579"/>
      <c r="U1" s="579"/>
      <c r="V1" s="579"/>
      <c r="W1" s="580"/>
      <c r="X1" s="1"/>
      <c r="Y1" s="1"/>
      <c r="Z1" s="1"/>
    </row>
    <row r="2" spans="1:29" ht="15.5" x14ac:dyDescent="0.35">
      <c r="A2" s="581" t="s">
        <v>329</v>
      </c>
      <c r="B2" s="582"/>
      <c r="C2" s="582"/>
      <c r="D2" s="582"/>
      <c r="E2" s="582"/>
      <c r="F2" s="582"/>
      <c r="G2" s="582"/>
      <c r="H2" s="582"/>
      <c r="I2" s="582"/>
      <c r="J2" s="582"/>
      <c r="K2" s="582"/>
      <c r="L2" s="582"/>
      <c r="M2" s="582"/>
      <c r="N2" s="582"/>
      <c r="O2" s="582"/>
      <c r="P2" s="582"/>
      <c r="Q2" s="582"/>
      <c r="R2" s="582"/>
      <c r="S2" s="582"/>
      <c r="T2" s="582"/>
      <c r="U2" s="582"/>
      <c r="V2" s="582"/>
      <c r="W2" s="583"/>
      <c r="X2" s="1"/>
      <c r="Y2" s="1"/>
      <c r="Z2" s="1"/>
    </row>
    <row r="3" spans="1:29" s="6" customFormat="1" ht="3.75" customHeight="1" x14ac:dyDescent="0.35">
      <c r="A3" s="216"/>
      <c r="B3" s="217"/>
      <c r="C3" s="217"/>
      <c r="D3" s="217"/>
      <c r="E3" s="217"/>
      <c r="F3" s="217"/>
      <c r="G3" s="217"/>
      <c r="H3" s="217"/>
      <c r="I3" s="217"/>
      <c r="J3" s="217"/>
      <c r="K3" s="217"/>
      <c r="L3" s="217"/>
      <c r="M3" s="217"/>
      <c r="N3" s="217"/>
      <c r="O3" s="217"/>
      <c r="P3" s="217"/>
      <c r="Q3" s="217"/>
      <c r="R3" s="217"/>
      <c r="S3" s="217"/>
      <c r="T3" s="217"/>
      <c r="U3" s="217"/>
      <c r="V3" s="217"/>
      <c r="W3" s="218"/>
      <c r="X3" s="4"/>
      <c r="Y3" s="4"/>
      <c r="Z3" s="4"/>
    </row>
    <row r="4" spans="1:29" s="6" customFormat="1" ht="15" customHeight="1" x14ac:dyDescent="0.35">
      <c r="A4" s="333"/>
      <c r="B4" s="297"/>
      <c r="C4" s="297" t="s">
        <v>315</v>
      </c>
      <c r="D4" s="334">
        <v>35</v>
      </c>
      <c r="E4" s="335" t="s">
        <v>330</v>
      </c>
      <c r="F4" s="299"/>
      <c r="G4" s="299"/>
      <c r="H4" s="299" t="s">
        <v>331</v>
      </c>
      <c r="I4" s="587" t="s">
        <v>121</v>
      </c>
      <c r="J4" s="588"/>
      <c r="K4" s="588"/>
      <c r="L4" s="588"/>
      <c r="M4" s="589"/>
      <c r="N4" s="9"/>
      <c r="O4" s="8" t="s">
        <v>332</v>
      </c>
      <c r="P4" s="336"/>
      <c r="Q4" s="298"/>
      <c r="R4" s="590">
        <f ca="1">TODAY()</f>
        <v>46247</v>
      </c>
      <c r="S4" s="591"/>
      <c r="T4" s="591"/>
      <c r="U4" s="591"/>
      <c r="V4" s="592"/>
      <c r="W4" s="337"/>
      <c r="X4" s="9"/>
      <c r="Y4" s="9"/>
      <c r="Z4" s="9"/>
    </row>
    <row r="5" spans="1:29" s="6" customFormat="1" ht="3.75" customHeight="1" x14ac:dyDescent="0.35">
      <c r="A5" s="216"/>
      <c r="B5" s="217"/>
      <c r="C5" s="217"/>
      <c r="D5" s="217"/>
      <c r="E5" s="217"/>
      <c r="F5" s="217"/>
      <c r="G5" s="217"/>
      <c r="H5" s="217"/>
      <c r="I5" s="217"/>
      <c r="J5" s="217"/>
      <c r="K5" s="217"/>
      <c r="L5" s="217"/>
      <c r="M5" s="217"/>
      <c r="N5" s="219"/>
      <c r="O5" s="217"/>
      <c r="P5" s="217"/>
      <c r="Q5" s="217"/>
      <c r="R5" s="217"/>
      <c r="S5" s="217"/>
      <c r="T5" s="217"/>
      <c r="U5" s="217"/>
      <c r="V5" s="217"/>
      <c r="W5" s="218"/>
      <c r="X5" s="4"/>
      <c r="Y5" s="4"/>
      <c r="Z5" s="4"/>
    </row>
    <row r="6" spans="1:29" ht="15" thickBot="1" x14ac:dyDescent="0.4">
      <c r="A6" s="220" t="s">
        <v>333</v>
      </c>
      <c r="B6" s="221"/>
      <c r="C6" s="221"/>
      <c r="D6" s="221"/>
      <c r="E6" s="221"/>
      <c r="F6" s="221"/>
      <c r="G6" s="221"/>
      <c r="H6" s="221"/>
      <c r="I6" s="221"/>
      <c r="J6" s="221"/>
      <c r="K6" s="221"/>
      <c r="L6" s="221"/>
      <c r="M6" s="221"/>
      <c r="N6" s="221"/>
      <c r="O6" s="221"/>
      <c r="P6" s="221"/>
      <c r="Q6" s="221"/>
      <c r="R6" s="221"/>
      <c r="S6" s="221"/>
      <c r="T6" s="221"/>
      <c r="U6" s="221"/>
      <c r="V6" s="221"/>
      <c r="W6" s="222"/>
      <c r="X6" s="14"/>
      <c r="Y6" s="14"/>
      <c r="Z6" s="14"/>
      <c r="AA6" s="15"/>
      <c r="AB6" s="15"/>
      <c r="AC6" s="15"/>
    </row>
    <row r="7" spans="1:29" s="6" customFormat="1" ht="8.15" customHeight="1" x14ac:dyDescent="0.35">
      <c r="A7" s="338"/>
      <c r="B7" s="298"/>
      <c r="C7" s="298"/>
      <c r="D7" s="298"/>
      <c r="E7" s="298"/>
      <c r="F7" s="298"/>
      <c r="G7" s="298"/>
      <c r="H7" s="298"/>
      <c r="I7" s="298"/>
      <c r="J7" s="298"/>
      <c r="K7" s="298"/>
      <c r="L7" s="298"/>
      <c r="M7" s="298"/>
      <c r="N7" s="298"/>
      <c r="O7" s="298"/>
      <c r="P7" s="298"/>
      <c r="Q7" s="298"/>
      <c r="R7" s="298"/>
      <c r="S7" s="298"/>
      <c r="T7" s="298"/>
      <c r="U7" s="298"/>
      <c r="V7" s="298"/>
      <c r="W7" s="337"/>
      <c r="X7" s="9"/>
      <c r="Y7" s="9"/>
      <c r="Z7" s="9"/>
      <c r="AA7" s="15"/>
      <c r="AB7" s="15"/>
      <c r="AC7" s="15"/>
    </row>
    <row r="8" spans="1:29" s="6" customFormat="1" ht="15" customHeight="1" x14ac:dyDescent="0.35">
      <c r="A8" s="333" t="s">
        <v>334</v>
      </c>
      <c r="B8" s="297"/>
      <c r="C8" s="297"/>
      <c r="D8" s="297"/>
      <c r="E8" s="584" t="e">
        <f>VLOOKUP(D4,Responses!A:AU,7,0)</f>
        <v>#N/A</v>
      </c>
      <c r="F8" s="585"/>
      <c r="G8" s="585"/>
      <c r="H8" s="585"/>
      <c r="I8" s="585"/>
      <c r="J8" s="585"/>
      <c r="K8" s="585"/>
      <c r="L8" s="585"/>
      <c r="M8" s="586"/>
      <c r="N8" s="297"/>
      <c r="O8" s="223" t="s">
        <v>335</v>
      </c>
      <c r="P8" s="224"/>
      <c r="Q8" s="297"/>
      <c r="R8" s="565" t="s">
        <v>92</v>
      </c>
      <c r="S8" s="566"/>
      <c r="T8" s="566"/>
      <c r="U8" s="566"/>
      <c r="V8" s="567"/>
      <c r="W8" s="337"/>
      <c r="X8" s="9"/>
      <c r="Y8" s="9"/>
      <c r="Z8" s="9"/>
      <c r="AB8" s="15"/>
      <c r="AC8" s="15"/>
    </row>
    <row r="9" spans="1:29" s="6" customFormat="1" ht="8.15" customHeight="1" x14ac:dyDescent="0.35">
      <c r="A9" s="333"/>
      <c r="B9" s="297"/>
      <c r="C9" s="297"/>
      <c r="D9" s="297"/>
      <c r="E9" s="339"/>
      <c r="F9" s="339"/>
      <c r="G9" s="339"/>
      <c r="H9" s="339"/>
      <c r="I9" s="339"/>
      <c r="J9" s="339"/>
      <c r="K9" s="339"/>
      <c r="L9" s="339"/>
      <c r="M9" s="339"/>
      <c r="N9" s="297"/>
      <c r="O9" s="225"/>
      <c r="P9" s="340"/>
      <c r="Q9" s="340"/>
      <c r="R9" s="339"/>
      <c r="S9" s="339"/>
      <c r="T9" s="339"/>
      <c r="U9" s="339"/>
      <c r="V9" s="339"/>
      <c r="W9" s="337"/>
      <c r="X9" s="9"/>
      <c r="Y9" s="9"/>
      <c r="Z9" s="9"/>
      <c r="AB9" s="15"/>
      <c r="AC9" s="15"/>
    </row>
    <row r="10" spans="1:29" s="6" customFormat="1" x14ac:dyDescent="0.35">
      <c r="A10" s="341" t="s">
        <v>336</v>
      </c>
      <c r="B10" s="342"/>
      <c r="C10" s="342"/>
      <c r="D10" s="297"/>
      <c r="E10" s="562" t="s">
        <v>337</v>
      </c>
      <c r="F10" s="563"/>
      <c r="G10" s="563"/>
      <c r="H10" s="563"/>
      <c r="I10" s="563"/>
      <c r="J10" s="563"/>
      <c r="K10" s="563"/>
      <c r="L10" s="563"/>
      <c r="M10" s="564"/>
      <c r="N10" s="297"/>
      <c r="O10" s="223" t="s">
        <v>338</v>
      </c>
      <c r="P10" s="297"/>
      <c r="Q10" s="297"/>
      <c r="R10" s="565"/>
      <c r="S10" s="566"/>
      <c r="T10" s="566"/>
      <c r="U10" s="566"/>
      <c r="V10" s="567"/>
      <c r="W10" s="337"/>
      <c r="X10" s="9"/>
      <c r="Y10" s="9"/>
      <c r="Z10" s="9"/>
      <c r="AB10" s="15"/>
      <c r="AC10" s="15"/>
    </row>
    <row r="11" spans="1:29" s="6" customFormat="1" ht="8.15" customHeight="1" x14ac:dyDescent="0.35">
      <c r="A11" s="333"/>
      <c r="B11" s="297"/>
      <c r="C11" s="297"/>
      <c r="D11" s="297"/>
      <c r="E11" s="339"/>
      <c r="F11" s="339"/>
      <c r="G11" s="339"/>
      <c r="H11" s="339"/>
      <c r="I11" s="339"/>
      <c r="J11" s="339"/>
      <c r="K11" s="339"/>
      <c r="L11" s="339"/>
      <c r="M11" s="339"/>
      <c r="N11" s="297"/>
      <c r="O11" s="223"/>
      <c r="P11" s="226"/>
      <c r="Q11" s="226"/>
      <c r="R11" s="340"/>
      <c r="S11" s="340"/>
      <c r="T11" s="340"/>
      <c r="U11" s="297"/>
      <c r="V11" s="297"/>
      <c r="W11" s="337"/>
      <c r="X11" s="9"/>
      <c r="Y11" s="9"/>
      <c r="Z11" s="9"/>
      <c r="AB11" s="15"/>
      <c r="AC11" s="15"/>
    </row>
    <row r="12" spans="1:29" s="6" customFormat="1" ht="13.5" customHeight="1" x14ac:dyDescent="0.35">
      <c r="A12" s="596" t="s">
        <v>339</v>
      </c>
      <c r="B12" s="597"/>
      <c r="C12" s="597"/>
      <c r="D12" s="597"/>
      <c r="E12" s="598" t="s">
        <v>340</v>
      </c>
      <c r="F12" s="599"/>
      <c r="G12" s="599"/>
      <c r="H12" s="599"/>
      <c r="I12" s="599"/>
      <c r="J12" s="599"/>
      <c r="K12" s="599"/>
      <c r="L12" s="599"/>
      <c r="M12" s="600"/>
      <c r="N12" s="297"/>
      <c r="O12" s="227" t="s">
        <v>341</v>
      </c>
      <c r="P12" s="297"/>
      <c r="R12" s="575" t="s">
        <v>342</v>
      </c>
      <c r="S12" s="576"/>
      <c r="T12" s="576"/>
      <c r="U12" s="576"/>
      <c r="V12" s="577"/>
      <c r="W12" s="337"/>
      <c r="X12" s="9"/>
      <c r="Y12" s="9"/>
      <c r="AA12" s="15"/>
      <c r="AB12" s="15"/>
    </row>
    <row r="13" spans="1:29" s="6" customFormat="1" ht="8.15" customHeight="1" x14ac:dyDescent="0.35">
      <c r="A13" s="333"/>
      <c r="B13" s="297"/>
      <c r="C13" s="297"/>
      <c r="D13" s="297"/>
      <c r="E13" s="228"/>
      <c r="F13" s="339"/>
      <c r="G13" s="339"/>
      <c r="H13" s="339"/>
      <c r="I13" s="339"/>
      <c r="J13" s="339"/>
      <c r="K13" s="339"/>
      <c r="L13" s="339"/>
      <c r="M13" s="339"/>
      <c r="N13" s="297"/>
      <c r="O13" s="229"/>
      <c r="P13" s="229"/>
      <c r="Q13" s="226"/>
      <c r="R13" s="343"/>
      <c r="S13" s="343"/>
      <c r="T13" s="343"/>
      <c r="U13" s="343"/>
      <c r="V13" s="343"/>
      <c r="W13" s="337"/>
      <c r="X13" s="9"/>
      <c r="Y13" s="9"/>
      <c r="Z13" s="9"/>
      <c r="AB13" s="15"/>
      <c r="AC13" s="15"/>
    </row>
    <row r="14" spans="1:29" ht="8.15" customHeight="1" x14ac:dyDescent="0.35">
      <c r="A14" s="338"/>
      <c r="B14" s="298"/>
      <c r="C14" s="298"/>
      <c r="D14" s="298"/>
      <c r="E14" s="230"/>
      <c r="F14" s="298"/>
      <c r="G14" s="298"/>
      <c r="H14" s="298"/>
      <c r="I14" s="298"/>
      <c r="J14" s="298"/>
      <c r="K14" s="298"/>
      <c r="L14" s="298"/>
      <c r="M14" s="298"/>
      <c r="N14" s="298"/>
      <c r="O14" s="230"/>
      <c r="P14" s="230"/>
      <c r="Q14" s="230"/>
      <c r="R14" s="231"/>
      <c r="S14" s="232"/>
      <c r="T14" s="231"/>
      <c r="U14" s="232"/>
      <c r="V14" s="231"/>
      <c r="W14" s="337"/>
      <c r="X14" s="9"/>
      <c r="Y14" s="9"/>
      <c r="Z14" s="9"/>
      <c r="AA14" s="6"/>
      <c r="AB14" s="15"/>
      <c r="AC14" s="15"/>
    </row>
    <row r="15" spans="1:29" ht="15" thickBot="1" x14ac:dyDescent="0.4">
      <c r="A15" s="220" t="s">
        <v>343</v>
      </c>
      <c r="B15" s="221"/>
      <c r="C15" s="221"/>
      <c r="D15" s="221"/>
      <c r="E15" s="221"/>
      <c r="F15" s="221"/>
      <c r="G15" s="221"/>
      <c r="H15" s="221"/>
      <c r="I15" s="221"/>
      <c r="J15" s="221"/>
      <c r="K15" s="221"/>
      <c r="L15" s="221"/>
      <c r="M15" s="221"/>
      <c r="N15" s="221"/>
      <c r="O15" s="221"/>
      <c r="P15" s="221"/>
      <c r="Q15" s="221"/>
      <c r="R15" s="221"/>
      <c r="S15" s="221"/>
      <c r="T15" s="221"/>
      <c r="U15" s="221"/>
      <c r="V15" s="221"/>
      <c r="W15" s="222"/>
      <c r="X15" s="14"/>
      <c r="Y15" s="14"/>
      <c r="Z15" s="14"/>
      <c r="AA15" s="6"/>
      <c r="AB15" s="15"/>
      <c r="AC15" s="15"/>
    </row>
    <row r="16" spans="1:29" s="6" customFormat="1" ht="3.75" customHeight="1" x14ac:dyDescent="0.35">
      <c r="A16" s="338"/>
      <c r="B16" s="298"/>
      <c r="C16" s="298"/>
      <c r="D16" s="298"/>
      <c r="E16" s="298"/>
      <c r="F16" s="298"/>
      <c r="G16" s="298"/>
      <c r="H16" s="298"/>
      <c r="I16" s="298"/>
      <c r="J16" s="298"/>
      <c r="K16" s="298"/>
      <c r="L16" s="298"/>
      <c r="M16" s="298"/>
      <c r="N16" s="298"/>
      <c r="O16" s="298"/>
      <c r="P16" s="298"/>
      <c r="Q16" s="298"/>
      <c r="R16" s="298"/>
      <c r="S16" s="298"/>
      <c r="T16" s="298"/>
      <c r="U16" s="298"/>
      <c r="V16" s="298"/>
      <c r="W16" s="337"/>
      <c r="X16" s="9"/>
      <c r="Y16" s="9"/>
      <c r="Z16" s="9"/>
      <c r="AB16" s="15"/>
      <c r="AC16" s="15"/>
    </row>
    <row r="17" spans="1:29" s="6" customFormat="1" ht="15" customHeight="1" x14ac:dyDescent="0.35">
      <c r="A17" s="338"/>
      <c r="B17" s="568" t="s">
        <v>1</v>
      </c>
      <c r="C17" s="568"/>
      <c r="D17" s="568"/>
      <c r="E17" s="569" t="s">
        <v>9</v>
      </c>
      <c r="F17" s="570"/>
      <c r="G17" s="570"/>
      <c r="H17" s="571"/>
      <c r="I17" s="233" t="s">
        <v>344</v>
      </c>
      <c r="J17" s="298"/>
      <c r="N17" s="572" t="s">
        <v>3</v>
      </c>
      <c r="O17" s="573"/>
      <c r="P17" s="573"/>
      <c r="Q17" s="234" t="s">
        <v>44</v>
      </c>
      <c r="R17" s="235" t="s">
        <v>345</v>
      </c>
      <c r="S17" s="236"/>
      <c r="T17" s="237"/>
      <c r="V17" s="298"/>
      <c r="W17" s="337"/>
      <c r="X17" s="9"/>
      <c r="Y17" s="9"/>
      <c r="Z17" s="9"/>
      <c r="AB17" s="15"/>
      <c r="AC17" s="15"/>
    </row>
    <row r="18" spans="1:29" s="6" customFormat="1" ht="15" customHeight="1" x14ac:dyDescent="0.35">
      <c r="A18" s="338"/>
      <c r="B18" s="568" t="s">
        <v>21</v>
      </c>
      <c r="C18" s="568"/>
      <c r="D18" s="568"/>
      <c r="E18" s="569" t="s">
        <v>27</v>
      </c>
      <c r="F18" s="570"/>
      <c r="G18" s="570"/>
      <c r="H18" s="571"/>
      <c r="I18" s="233" t="s">
        <v>346</v>
      </c>
      <c r="J18" s="298"/>
      <c r="N18" s="572" t="s">
        <v>51</v>
      </c>
      <c r="O18" s="573"/>
      <c r="P18" s="574"/>
      <c r="Q18" s="238" t="s">
        <v>52</v>
      </c>
      <c r="R18" s="233" t="s">
        <v>347</v>
      </c>
      <c r="S18" s="298"/>
      <c r="T18" s="298"/>
      <c r="U18" s="298"/>
      <c r="V18" s="298"/>
      <c r="W18" s="337"/>
      <c r="X18" s="9"/>
      <c r="Y18" s="9"/>
      <c r="Z18" s="9"/>
      <c r="AB18" s="15"/>
      <c r="AC18" s="15"/>
    </row>
    <row r="19" spans="1:29" s="6" customFormat="1" ht="15" customHeight="1" x14ac:dyDescent="0.35">
      <c r="A19" s="338"/>
      <c r="B19" s="568" t="s">
        <v>48</v>
      </c>
      <c r="C19" s="568"/>
      <c r="D19" s="568"/>
      <c r="E19" s="569" t="s">
        <v>49</v>
      </c>
      <c r="F19" s="570"/>
      <c r="G19" s="570"/>
      <c r="H19" s="571"/>
      <c r="I19" s="233" t="s">
        <v>348</v>
      </c>
      <c r="J19" s="298"/>
      <c r="N19" s="549" t="s">
        <v>349</v>
      </c>
      <c r="O19" s="550"/>
      <c r="P19" s="551"/>
      <c r="Q19" s="239" t="s">
        <v>52</v>
      </c>
      <c r="R19" s="233" t="s">
        <v>350</v>
      </c>
      <c r="S19" s="298"/>
      <c r="T19" s="298"/>
      <c r="U19" s="298"/>
      <c r="V19" s="298"/>
      <c r="W19" s="337"/>
      <c r="X19" s="9"/>
      <c r="Y19" s="9"/>
      <c r="Z19" s="9"/>
      <c r="AB19" s="15"/>
      <c r="AC19" s="15"/>
    </row>
    <row r="20" spans="1:29" s="6" customFormat="1" ht="15" customHeight="1" x14ac:dyDescent="0.35">
      <c r="A20" s="338"/>
      <c r="B20" s="568" t="s">
        <v>66</v>
      </c>
      <c r="C20" s="568"/>
      <c r="D20" s="568"/>
      <c r="E20" s="569" t="s">
        <v>67</v>
      </c>
      <c r="F20" s="570"/>
      <c r="G20" s="570"/>
      <c r="H20" s="571"/>
      <c r="I20" s="233" t="s">
        <v>351</v>
      </c>
      <c r="J20" s="298"/>
      <c r="N20" s="549" t="s">
        <v>93</v>
      </c>
      <c r="O20" s="550"/>
      <c r="P20" s="551"/>
      <c r="Q20" s="239" t="s">
        <v>91</v>
      </c>
      <c r="R20" s="233" t="s">
        <v>352</v>
      </c>
      <c r="S20" s="298"/>
      <c r="T20" s="298"/>
      <c r="U20" s="298"/>
      <c r="V20" s="298"/>
      <c r="W20" s="337"/>
      <c r="X20" s="9"/>
      <c r="Y20" s="9"/>
      <c r="Z20" s="9"/>
      <c r="AB20" s="15"/>
      <c r="AC20" s="15"/>
    </row>
    <row r="21" spans="1:29" s="6" customFormat="1" ht="15" customHeight="1" x14ac:dyDescent="0.35">
      <c r="A21" s="344"/>
      <c r="B21" s="568" t="s">
        <v>73</v>
      </c>
      <c r="C21" s="568"/>
      <c r="D21" s="568"/>
      <c r="E21" s="569" t="s">
        <v>75</v>
      </c>
      <c r="F21" s="570"/>
      <c r="G21" s="570"/>
      <c r="H21" s="571"/>
      <c r="I21" s="233" t="s">
        <v>353</v>
      </c>
      <c r="J21" s="298"/>
      <c r="N21" s="549" t="s">
        <v>61</v>
      </c>
      <c r="O21" s="550"/>
      <c r="P21" s="551"/>
      <c r="Q21" s="239" t="s">
        <v>54</v>
      </c>
      <c r="R21" s="233" t="s">
        <v>354</v>
      </c>
      <c r="S21" s="298"/>
      <c r="T21" s="298"/>
      <c r="U21" s="298"/>
      <c r="V21" s="298"/>
      <c r="W21" s="337"/>
      <c r="X21" s="9"/>
      <c r="Y21" s="9"/>
      <c r="Z21" s="9"/>
      <c r="AB21" s="15"/>
      <c r="AC21" s="15"/>
    </row>
    <row r="22" spans="1:29" s="6" customFormat="1" ht="15" customHeight="1" x14ac:dyDescent="0.35">
      <c r="A22" s="344"/>
      <c r="B22" s="606" t="s">
        <v>78</v>
      </c>
      <c r="C22" s="607"/>
      <c r="D22" s="608"/>
      <c r="E22" s="569" t="s">
        <v>81</v>
      </c>
      <c r="F22" s="570"/>
      <c r="G22" s="570"/>
      <c r="H22" s="571"/>
      <c r="I22" s="233" t="s">
        <v>355</v>
      </c>
      <c r="J22" s="298"/>
      <c r="N22" s="549" t="s">
        <v>68</v>
      </c>
      <c r="O22" s="550"/>
      <c r="P22" s="551"/>
      <c r="Q22" s="239" t="s">
        <v>54</v>
      </c>
      <c r="R22" s="233" t="s">
        <v>356</v>
      </c>
      <c r="S22" s="298"/>
      <c r="T22" s="298"/>
      <c r="U22" s="298"/>
      <c r="V22" s="298"/>
      <c r="W22" s="337"/>
      <c r="X22" s="9"/>
      <c r="Y22" s="9"/>
      <c r="Z22" s="9"/>
      <c r="AB22" s="15"/>
      <c r="AC22" s="15"/>
    </row>
    <row r="23" spans="1:29" s="6" customFormat="1" ht="3.75" customHeight="1" x14ac:dyDescent="0.35">
      <c r="A23" s="338"/>
      <c r="B23" s="298"/>
      <c r="C23" s="298"/>
      <c r="D23" s="298"/>
      <c r="E23" s="298"/>
      <c r="F23" s="298"/>
      <c r="G23" s="298"/>
      <c r="H23" s="298"/>
      <c r="I23" s="298"/>
      <c r="J23" s="298"/>
      <c r="K23" s="298"/>
      <c r="L23" s="298"/>
      <c r="M23" s="298"/>
      <c r="N23" s="298"/>
      <c r="O23" s="240"/>
      <c r="P23" s="297"/>
      <c r="Q23" s="298"/>
      <c r="R23" s="298"/>
      <c r="S23" s="298"/>
      <c r="T23" s="345"/>
      <c r="U23" s="298"/>
      <c r="V23" s="298"/>
      <c r="W23" s="337"/>
      <c r="X23" s="9"/>
      <c r="Y23" s="9"/>
      <c r="Z23" s="9"/>
    </row>
    <row r="24" spans="1:29" ht="15" thickBot="1" x14ac:dyDescent="0.4">
      <c r="A24" s="220" t="s">
        <v>357</v>
      </c>
      <c r="B24" s="221"/>
      <c r="C24" s="221"/>
      <c r="D24" s="221"/>
      <c r="E24" s="221"/>
      <c r="F24" s="221"/>
      <c r="G24" s="221"/>
      <c r="H24" s="221"/>
      <c r="I24" s="221"/>
      <c r="J24" s="221"/>
      <c r="K24" s="221"/>
      <c r="L24" s="221"/>
      <c r="M24" s="221"/>
      <c r="N24" s="221"/>
      <c r="O24" s="221"/>
      <c r="P24" s="221"/>
      <c r="Q24" s="221"/>
      <c r="R24" s="221"/>
      <c r="S24" s="221"/>
      <c r="T24" s="221"/>
      <c r="U24" s="221"/>
      <c r="V24" s="221"/>
      <c r="W24" s="222"/>
      <c r="X24" s="14"/>
      <c r="Y24" s="14"/>
      <c r="Z24" s="14"/>
      <c r="AA24" s="6"/>
      <c r="AB24" s="15"/>
      <c r="AC24" s="15"/>
    </row>
    <row r="25" spans="1:29" s="6" customFormat="1" ht="6.65" customHeight="1" x14ac:dyDescent="0.35">
      <c r="A25" s="338"/>
      <c r="B25" s="298"/>
      <c r="C25" s="298"/>
      <c r="D25" s="298"/>
      <c r="E25" s="298"/>
      <c r="F25" s="298"/>
      <c r="G25" s="298"/>
      <c r="H25" s="298"/>
      <c r="I25" s="298"/>
      <c r="J25" s="298"/>
      <c r="K25" s="298"/>
      <c r="L25" s="298"/>
      <c r="M25" s="298"/>
      <c r="N25" s="298"/>
      <c r="O25" s="298"/>
      <c r="P25" s="298"/>
      <c r="Q25" s="298"/>
      <c r="R25" s="298"/>
      <c r="S25" s="298"/>
      <c r="T25" s="345"/>
      <c r="U25" s="298"/>
      <c r="V25" s="298"/>
      <c r="W25" s="337"/>
      <c r="X25" s="9"/>
      <c r="Y25" s="9"/>
      <c r="Z25" s="9"/>
    </row>
    <row r="26" spans="1:29" s="6" customFormat="1" x14ac:dyDescent="0.35">
      <c r="A26" s="338"/>
      <c r="B26" s="297" t="s">
        <v>135</v>
      </c>
      <c r="C26" s="298"/>
      <c r="D26" s="298"/>
      <c r="E26" s="346"/>
      <c r="F26" s="456" t="e">
        <f>VLOOKUP(D4,Responses!A:AU,13,0)</f>
        <v>#N/A</v>
      </c>
      <c r="G26" s="347"/>
      <c r="H26" s="347"/>
      <c r="I26" s="347"/>
      <c r="J26" s="348"/>
      <c r="K26" s="298"/>
      <c r="L26" s="298"/>
      <c r="M26" s="298"/>
      <c r="N26" s="345"/>
      <c r="O26" s="349" t="s">
        <v>358</v>
      </c>
      <c r="P26" s="456" t="str">
        <f>IFERROR(IF(VLOOKUP(D4,Responses!A:AU,15,0)=0,"N/A",VLOOKUP(D4,Responses!A:AU,15,0)),"N/A")</f>
        <v>N/A</v>
      </c>
      <c r="Q26" s="347"/>
      <c r="R26" s="347"/>
      <c r="S26" s="347"/>
      <c r="T26" s="347"/>
      <c r="U26" s="347"/>
      <c r="V26" s="348"/>
      <c r="W26" s="337"/>
      <c r="X26" s="9"/>
      <c r="Y26" s="9"/>
      <c r="Z26" s="9"/>
    </row>
    <row r="27" spans="1:29" s="6" customFormat="1" ht="3.75" customHeight="1" x14ac:dyDescent="0.35">
      <c r="A27" s="338"/>
      <c r="B27" s="298"/>
      <c r="C27" s="298"/>
      <c r="D27" s="298"/>
      <c r="E27" s="346"/>
      <c r="F27" s="457"/>
      <c r="G27" s="298"/>
      <c r="H27" s="298"/>
      <c r="I27" s="298"/>
      <c r="J27" s="345"/>
      <c r="K27" s="298"/>
      <c r="L27" s="298"/>
      <c r="M27" s="298"/>
      <c r="N27" s="345"/>
      <c r="O27" s="349"/>
      <c r="P27" s="457"/>
      <c r="Q27" s="298"/>
      <c r="R27" s="298"/>
      <c r="S27" s="298"/>
      <c r="T27" s="298"/>
      <c r="U27" s="298"/>
      <c r="V27" s="298"/>
      <c r="W27" s="337"/>
      <c r="X27" s="9"/>
      <c r="Y27" s="9"/>
      <c r="Z27" s="9"/>
    </row>
    <row r="28" spans="1:29" s="6" customFormat="1" x14ac:dyDescent="0.35">
      <c r="A28" s="338"/>
      <c r="B28" s="297" t="s">
        <v>359</v>
      </c>
      <c r="C28" s="298"/>
      <c r="D28" s="298"/>
      <c r="E28" s="346"/>
      <c r="F28" s="456" t="e">
        <f>VLOOKUP(D4,Responses!A:AU,14,0)</f>
        <v>#N/A</v>
      </c>
      <c r="G28" s="347"/>
      <c r="H28" s="347"/>
      <c r="I28" s="347"/>
      <c r="J28" s="348"/>
      <c r="K28" s="298"/>
      <c r="L28" s="298"/>
      <c r="M28" s="298"/>
      <c r="N28" s="345"/>
      <c r="O28" s="350" t="s">
        <v>139</v>
      </c>
      <c r="P28" s="456" t="str">
        <f>IFERROR(IF(VLOOKUP(D4,Responses!A:AU,17,0)=0,"N/A",VLOOKUP(D4,Responses!A:AU,17,0)),"N/A")</f>
        <v>N/A</v>
      </c>
      <c r="Q28" s="347"/>
      <c r="R28" s="347"/>
      <c r="S28" s="347"/>
      <c r="T28" s="347"/>
      <c r="U28" s="347"/>
      <c r="V28" s="348"/>
      <c r="W28" s="337"/>
      <c r="X28" s="8"/>
      <c r="Y28" s="8"/>
      <c r="Z28" s="8"/>
    </row>
    <row r="29" spans="1:29" s="6" customFormat="1" ht="3.75" customHeight="1" thickBot="1" x14ac:dyDescent="0.4">
      <c r="A29" s="338"/>
      <c r="B29" s="298"/>
      <c r="C29" s="298"/>
      <c r="D29" s="298"/>
      <c r="E29" s="298"/>
      <c r="F29" s="298"/>
      <c r="G29" s="298"/>
      <c r="H29" s="298"/>
      <c r="I29" s="298"/>
      <c r="J29" s="298"/>
      <c r="K29" s="342"/>
      <c r="L29" s="298"/>
      <c r="M29" s="298"/>
      <c r="N29" s="298"/>
      <c r="O29" s="297"/>
      <c r="P29" s="297"/>
      <c r="Q29" s="297"/>
      <c r="R29" s="297"/>
      <c r="S29" s="297"/>
      <c r="T29" s="297"/>
      <c r="U29" s="297"/>
      <c r="V29" s="297"/>
      <c r="W29" s="351"/>
      <c r="X29" s="8"/>
      <c r="Y29" s="8"/>
      <c r="Z29" s="8"/>
    </row>
    <row r="30" spans="1:29" ht="15" thickBot="1" x14ac:dyDescent="0.4">
      <c r="A30" s="220" t="s">
        <v>360</v>
      </c>
      <c r="B30" s="221"/>
      <c r="C30" s="221"/>
      <c r="D30" s="221"/>
      <c r="E30" s="221"/>
      <c r="F30" s="221"/>
      <c r="G30" s="221"/>
      <c r="H30" s="221"/>
      <c r="I30" s="221"/>
      <c r="J30" s="221"/>
      <c r="K30" s="221"/>
      <c r="L30" s="221"/>
      <c r="M30" s="221"/>
      <c r="N30" s="221"/>
      <c r="O30" s="221"/>
      <c r="P30" s="221"/>
      <c r="Q30" s="221"/>
      <c r="R30" s="221"/>
      <c r="S30" s="221"/>
      <c r="T30" s="221"/>
      <c r="U30" s="221"/>
      <c r="V30" s="221"/>
      <c r="W30" s="222"/>
      <c r="X30" s="14"/>
      <c r="Y30" s="14"/>
      <c r="Z30" s="14"/>
    </row>
    <row r="31" spans="1:29" s="6" customFormat="1" ht="3.75" customHeight="1" thickBot="1" x14ac:dyDescent="0.4">
      <c r="A31" s="338"/>
      <c r="B31" s="298"/>
      <c r="C31" s="298"/>
      <c r="D31" s="298"/>
      <c r="E31" s="298"/>
      <c r="F31" s="298"/>
      <c r="G31" s="298"/>
      <c r="H31" s="298"/>
      <c r="I31" s="298"/>
      <c r="J31" s="298"/>
      <c r="K31" s="298"/>
      <c r="L31" s="298"/>
      <c r="M31" s="298"/>
      <c r="N31" s="298"/>
      <c r="O31" s="240"/>
      <c r="P31" s="297"/>
      <c r="Q31" s="298"/>
      <c r="R31" s="298"/>
      <c r="S31" s="298"/>
      <c r="T31" s="345"/>
      <c r="U31" s="298"/>
      <c r="V31" s="298"/>
      <c r="W31" s="337"/>
      <c r="X31" s="9"/>
      <c r="Y31" s="9"/>
      <c r="Z31" s="9"/>
    </row>
    <row r="32" spans="1:29" ht="15" thickBot="1" x14ac:dyDescent="0.4">
      <c r="A32" s="552" t="s">
        <v>361</v>
      </c>
      <c r="B32" s="553"/>
      <c r="C32" s="553"/>
      <c r="D32" s="553"/>
      <c r="E32" s="553"/>
      <c r="F32" s="553"/>
      <c r="G32" s="553"/>
      <c r="H32" s="556" t="s">
        <v>362</v>
      </c>
      <c r="I32" s="556"/>
      <c r="J32" s="556"/>
      <c r="K32" s="556"/>
      <c r="L32" s="556"/>
      <c r="M32" s="556"/>
      <c r="N32" s="557"/>
      <c r="O32" s="298"/>
      <c r="P32" s="558" t="s">
        <v>363</v>
      </c>
      <c r="Q32" s="556"/>
      <c r="R32" s="556"/>
      <c r="S32" s="556"/>
      <c r="T32" s="556"/>
      <c r="U32" s="556"/>
      <c r="V32" s="556"/>
      <c r="W32" s="559"/>
      <c r="X32" s="27"/>
      <c r="Y32" s="27"/>
      <c r="Z32" s="27"/>
    </row>
    <row r="33" spans="1:29" x14ac:dyDescent="0.35">
      <c r="A33" s="554"/>
      <c r="B33" s="555"/>
      <c r="C33" s="555"/>
      <c r="D33" s="555"/>
      <c r="E33" s="555"/>
      <c r="F33" s="555"/>
      <c r="G33" s="555"/>
      <c r="H33" s="241" t="s">
        <v>364</v>
      </c>
      <c r="I33" s="560" t="s">
        <v>365</v>
      </c>
      <c r="J33" s="560"/>
      <c r="K33" s="560" t="s">
        <v>366</v>
      </c>
      <c r="L33" s="560"/>
      <c r="M33" s="560"/>
      <c r="N33" s="561"/>
      <c r="O33" s="298"/>
      <c r="P33" s="242" t="s">
        <v>364</v>
      </c>
      <c r="Q33" s="560" t="s">
        <v>365</v>
      </c>
      <c r="R33" s="560"/>
      <c r="S33" s="560"/>
      <c r="T33" s="560" t="s">
        <v>366</v>
      </c>
      <c r="U33" s="560"/>
      <c r="V33" s="560"/>
      <c r="W33" s="601"/>
      <c r="X33" s="30" t="s">
        <v>367</v>
      </c>
      <c r="Y33" s="30" t="s">
        <v>368</v>
      </c>
      <c r="Z33" s="30"/>
    </row>
    <row r="34" spans="1:29" x14ac:dyDescent="0.35">
      <c r="A34" s="352" t="s">
        <v>369</v>
      </c>
      <c r="B34" s="353"/>
      <c r="C34" s="353"/>
      <c r="D34" s="353"/>
      <c r="E34" s="353"/>
      <c r="F34" s="353"/>
      <c r="G34" s="353"/>
      <c r="H34" s="353"/>
      <c r="I34" s="353"/>
      <c r="J34" s="353"/>
      <c r="K34" s="353"/>
      <c r="L34" s="353"/>
      <c r="M34" s="353"/>
      <c r="N34" s="354"/>
      <c r="O34" s="298"/>
      <c r="P34" s="355"/>
      <c r="Q34" s="353"/>
      <c r="R34" s="353"/>
      <c r="S34" s="353"/>
      <c r="T34" s="353"/>
      <c r="U34" s="353"/>
      <c r="V34" s="353"/>
      <c r="W34" s="356"/>
      <c r="X34" s="37"/>
      <c r="Y34" s="37"/>
      <c r="Z34" s="37"/>
    </row>
    <row r="35" spans="1:29" s="6" customFormat="1" x14ac:dyDescent="0.35">
      <c r="A35" s="531" t="s">
        <v>370</v>
      </c>
      <c r="B35" s="532"/>
      <c r="C35" s="532"/>
      <c r="D35" s="532"/>
      <c r="E35" s="532"/>
      <c r="F35" s="532"/>
      <c r="G35" s="532"/>
      <c r="H35" s="357" t="e">
        <f>VLOOKUP(D4,Responses!A:AU,18,0)</f>
        <v>#N/A</v>
      </c>
      <c r="I35" s="533" t="e">
        <f>H35*12</f>
        <v>#N/A</v>
      </c>
      <c r="J35" s="533"/>
      <c r="K35" s="602"/>
      <c r="L35" s="602"/>
      <c r="M35" s="602"/>
      <c r="N35" s="603"/>
      <c r="O35" s="358"/>
      <c r="P35" s="359"/>
      <c r="Q35" s="604">
        <f>P35*12</f>
        <v>0</v>
      </c>
      <c r="R35" s="604"/>
      <c r="S35" s="604"/>
      <c r="T35" s="534"/>
      <c r="U35" s="534"/>
      <c r="V35" s="534"/>
      <c r="W35" s="605"/>
      <c r="X35" s="40" t="e">
        <f>$I$35*((13-$R$12)/12)</f>
        <v>#N/A</v>
      </c>
      <c r="Y35" s="40" t="e">
        <f>$Q$35*((13-$R$12)/12)</f>
        <v>#VALUE!</v>
      </c>
      <c r="Z35" s="41"/>
    </row>
    <row r="36" spans="1:29" ht="15.75" customHeight="1" x14ac:dyDescent="0.35">
      <c r="A36" s="524" t="s">
        <v>371</v>
      </c>
      <c r="B36" s="525"/>
      <c r="C36" s="525"/>
      <c r="D36" s="525"/>
      <c r="E36" s="525"/>
      <c r="F36" s="525"/>
      <c r="G36" s="525"/>
      <c r="H36" s="360"/>
      <c r="I36" s="526" t="e">
        <f>H35</f>
        <v>#N/A</v>
      </c>
      <c r="J36" s="526"/>
      <c r="K36" s="527"/>
      <c r="L36" s="527"/>
      <c r="M36" s="527"/>
      <c r="N36" s="528"/>
      <c r="O36" s="358"/>
      <c r="P36" s="361"/>
      <c r="Q36" s="548">
        <f>P35*1</f>
        <v>0</v>
      </c>
      <c r="R36" s="548"/>
      <c r="S36" s="548"/>
      <c r="T36" s="527" t="s">
        <v>372</v>
      </c>
      <c r="U36" s="527"/>
      <c r="V36" s="527"/>
      <c r="W36" s="530"/>
      <c r="X36" s="40" t="e">
        <f>$I$36*((13-$R$12)/12)</f>
        <v>#N/A</v>
      </c>
      <c r="Y36" s="40" t="e">
        <f>$Q$36*((13-$R$12)/12)</f>
        <v>#VALUE!</v>
      </c>
      <c r="Z36" s="41"/>
    </row>
    <row r="37" spans="1:29" s="6" customFormat="1" x14ac:dyDescent="0.35">
      <c r="A37" s="524" t="s">
        <v>373</v>
      </c>
      <c r="B37" s="525"/>
      <c r="C37" s="525"/>
      <c r="D37" s="525"/>
      <c r="E37" s="525"/>
      <c r="F37" s="525"/>
      <c r="G37" s="525"/>
      <c r="H37" s="360"/>
      <c r="I37" s="526" t="e">
        <f>VLOOKUP(D4,Responses!A:AU,21,0)</f>
        <v>#N/A</v>
      </c>
      <c r="J37" s="526"/>
      <c r="K37" s="546" t="str">
        <f>IFERROR(IF(VLOOKUP(D4,Responses!A:AU,20,0)=0,"N/A",VLOOKUP(D4,Responses!A:AU,20,0)),"N/A")</f>
        <v>N/A</v>
      </c>
      <c r="L37" s="546"/>
      <c r="M37" s="546"/>
      <c r="N37" s="547"/>
      <c r="O37" s="358"/>
      <c r="P37" s="361"/>
      <c r="Q37" s="548">
        <f>P35*2</f>
        <v>0</v>
      </c>
      <c r="R37" s="548"/>
      <c r="S37" s="548"/>
      <c r="T37" s="527" t="s">
        <v>374</v>
      </c>
      <c r="U37" s="527"/>
      <c r="V37" s="527"/>
      <c r="W37" s="530"/>
      <c r="X37" s="40" t="e">
        <f>$I$37*((13-$R$12)/12)</f>
        <v>#N/A</v>
      </c>
      <c r="Y37" s="40">
        <f>Q37/2</f>
        <v>0</v>
      </c>
      <c r="Z37" s="41"/>
      <c r="AA37" s="6" t="s">
        <v>375</v>
      </c>
    </row>
    <row r="38" spans="1:29" s="6" customFormat="1" ht="32.25" customHeight="1" x14ac:dyDescent="0.35">
      <c r="A38" s="536" t="s">
        <v>376</v>
      </c>
      <c r="B38" s="537"/>
      <c r="C38" s="537"/>
      <c r="D38" s="537"/>
      <c r="E38" s="537"/>
      <c r="F38" s="537"/>
      <c r="G38" s="537"/>
      <c r="H38" s="362"/>
      <c r="I38" s="538">
        <v>25000</v>
      </c>
      <c r="J38" s="538"/>
      <c r="K38" s="539" t="s">
        <v>249</v>
      </c>
      <c r="L38" s="539"/>
      <c r="M38" s="539"/>
      <c r="N38" s="540"/>
      <c r="O38" s="358"/>
      <c r="P38" s="363">
        <f>Q38/12</f>
        <v>2000</v>
      </c>
      <c r="Q38" s="541">
        <f>IF(Q20="YES",
   (275*90)+(2000*12),
   (2000*12)
 )
 +IF(Q22="HZ",5280,
     IF(Q22="PA",3000,0))</f>
        <v>24000</v>
      </c>
      <c r="R38" s="542"/>
      <c r="S38" s="542"/>
      <c r="T38" s="543" t="s">
        <v>377</v>
      </c>
      <c r="U38" s="544"/>
      <c r="V38" s="544"/>
      <c r="W38" s="545"/>
      <c r="X38" s="40" t="e">
        <f>$I$38*((13-$R$12)/12)</f>
        <v>#VALUE!</v>
      </c>
      <c r="Y38" s="40" t="e">
        <f>#REF!*((13-$R$12)/12)</f>
        <v>#REF!</v>
      </c>
      <c r="Z38" s="41"/>
      <c r="AA38" s="6" t="e">
        <f>VLOOKUP(D4,Responses!A:AU,22,0)</f>
        <v>#N/A</v>
      </c>
      <c r="AB38" s="6" t="e">
        <f>VLOOKUP(D4,Responses!A:AU,24,0)</f>
        <v>#N/A</v>
      </c>
      <c r="AC38" s="6" t="e">
        <f>CONCATENATE(AA38,",",AB38)</f>
        <v>#N/A</v>
      </c>
    </row>
    <row r="39" spans="1:29" s="6" customFormat="1" ht="6" customHeight="1" x14ac:dyDescent="0.35">
      <c r="A39" s="338"/>
      <c r="B39" s="298"/>
      <c r="C39" s="298"/>
      <c r="D39" s="298"/>
      <c r="E39" s="298"/>
      <c r="F39" s="298"/>
      <c r="G39" s="298"/>
      <c r="H39" s="298"/>
      <c r="I39" s="298"/>
      <c r="J39" s="298"/>
      <c r="K39" s="298"/>
      <c r="L39" s="298"/>
      <c r="M39" s="298"/>
      <c r="N39" s="298"/>
      <c r="O39" s="240"/>
      <c r="P39" s="297"/>
      <c r="Q39" s="298"/>
      <c r="R39" s="298"/>
      <c r="S39" s="298"/>
      <c r="T39" s="345"/>
      <c r="U39" s="298"/>
      <c r="V39" s="298"/>
      <c r="W39" s="337"/>
      <c r="X39" s="45"/>
      <c r="Y39" s="45"/>
      <c r="Z39" s="9"/>
    </row>
    <row r="40" spans="1:29" x14ac:dyDescent="0.35">
      <c r="A40" s="364" t="s">
        <v>378</v>
      </c>
      <c r="B40" s="353"/>
      <c r="C40" s="353"/>
      <c r="D40" s="353"/>
      <c r="E40" s="353"/>
      <c r="F40" s="353"/>
      <c r="G40" s="353"/>
      <c r="H40" s="353"/>
      <c r="I40" s="353"/>
      <c r="J40" s="353"/>
      <c r="K40" s="353"/>
      <c r="L40" s="353"/>
      <c r="M40" s="353"/>
      <c r="N40" s="354"/>
      <c r="O40" s="358"/>
      <c r="P40" s="593"/>
      <c r="Q40" s="594"/>
      <c r="R40" s="594"/>
      <c r="S40" s="594"/>
      <c r="T40" s="594"/>
      <c r="U40" s="594"/>
      <c r="V40" s="594"/>
      <c r="W40" s="595"/>
      <c r="X40" s="52"/>
      <c r="Y40" s="52"/>
      <c r="Z40" s="37"/>
      <c r="AA40" s="6" t="s">
        <v>379</v>
      </c>
    </row>
    <row r="41" spans="1:29" x14ac:dyDescent="0.35">
      <c r="A41" s="531" t="s">
        <v>380</v>
      </c>
      <c r="B41" s="532"/>
      <c r="C41" s="532"/>
      <c r="D41" s="532"/>
      <c r="E41" s="532"/>
      <c r="F41" s="532"/>
      <c r="G41" s="532"/>
      <c r="H41" s="365"/>
      <c r="I41" s="533" t="e">
        <f>VLOOKUP(D4,Responses!A:AU,30,0)</f>
        <v>#N/A</v>
      </c>
      <c r="J41" s="533"/>
      <c r="K41" s="534" t="s">
        <v>380</v>
      </c>
      <c r="L41" s="534"/>
      <c r="M41" s="534"/>
      <c r="N41" s="535"/>
      <c r="O41" s="358"/>
      <c r="P41" s="366"/>
      <c r="Q41" s="529">
        <f>P35*1</f>
        <v>0</v>
      </c>
      <c r="R41" s="529"/>
      <c r="S41" s="529"/>
      <c r="T41" s="527" t="s">
        <v>381</v>
      </c>
      <c r="U41" s="527"/>
      <c r="V41" s="527"/>
      <c r="W41" s="530"/>
      <c r="X41" s="40"/>
      <c r="Y41" s="40"/>
      <c r="Z41" s="41"/>
      <c r="AA41" s="2" t="e">
        <f>VLOOKUP(D4,Responses!A:AU,26,0)</f>
        <v>#N/A</v>
      </c>
      <c r="AB41" s="2" t="e">
        <f>VLOOKUP(D4,Responses!A:AU,28,0)</f>
        <v>#N/A</v>
      </c>
      <c r="AC41" s="2" t="e">
        <f>CONCATENATE(AA41,",",AB41)</f>
        <v>#N/A</v>
      </c>
    </row>
    <row r="42" spans="1:29" x14ac:dyDescent="0.35">
      <c r="A42" s="524" t="s">
        <v>382</v>
      </c>
      <c r="B42" s="525"/>
      <c r="C42" s="525"/>
      <c r="D42" s="525"/>
      <c r="E42" s="525"/>
      <c r="F42" s="525"/>
      <c r="G42" s="525"/>
      <c r="H42" s="367"/>
      <c r="I42" s="526" t="e">
        <f>VLOOKUP(D4,Responses!A:AU,32,0)</f>
        <v>#N/A</v>
      </c>
      <c r="J42" s="526"/>
      <c r="K42" s="527" t="str">
        <f>IFERROR(IF(VLOOKUP(D4,Responses!A:AU,31,0)=0,"N/A",VLOOKUP(D4,Responses!A:AU,31,0)),"N/A")</f>
        <v>N/A</v>
      </c>
      <c r="L42" s="527"/>
      <c r="M42" s="527"/>
      <c r="N42" s="528"/>
      <c r="O42" s="358"/>
      <c r="P42" s="366"/>
      <c r="Q42" s="529">
        <v>222000</v>
      </c>
      <c r="R42" s="529"/>
      <c r="S42" s="529"/>
      <c r="T42" s="527" t="s">
        <v>383</v>
      </c>
      <c r="U42" s="527"/>
      <c r="V42" s="527"/>
      <c r="W42" s="530"/>
      <c r="X42" s="40" t="e">
        <f>$I$42*((13-$R$12)/12)</f>
        <v>#N/A</v>
      </c>
      <c r="Y42" s="40" t="e">
        <f>$Q$42*((13-$R$12)/12)</f>
        <v>#VALUE!</v>
      </c>
      <c r="Z42" s="41"/>
    </row>
    <row r="43" spans="1:29" ht="15" customHeight="1" x14ac:dyDescent="0.35">
      <c r="A43" s="517" t="s">
        <v>384</v>
      </c>
      <c r="B43" s="518"/>
      <c r="C43" s="518"/>
      <c r="D43" s="518"/>
      <c r="E43" s="518"/>
      <c r="F43" s="518"/>
      <c r="G43" s="518"/>
      <c r="H43" s="368"/>
      <c r="I43" s="519" t="e">
        <f>VLOOKUP(D4,Responses!A:AU,34,0)</f>
        <v>#N/A</v>
      </c>
      <c r="J43" s="519"/>
      <c r="K43" s="520" t="str">
        <f>IFERROR(IF(VLOOKUP(D4,Responses!A:AU,33,0)=0,"N/A",VLOOKUP(D4,Responses!A:AU,33,0)),"N/A")</f>
        <v>N/A</v>
      </c>
      <c r="L43" s="520"/>
      <c r="M43" s="520"/>
      <c r="N43" s="521"/>
      <c r="O43" s="358"/>
      <c r="P43" s="369"/>
      <c r="Q43" s="522"/>
      <c r="R43" s="522"/>
      <c r="S43" s="522"/>
      <c r="T43" s="520"/>
      <c r="U43" s="520"/>
      <c r="V43" s="520"/>
      <c r="W43" s="523"/>
      <c r="X43" s="40" t="e">
        <f>$I$43*((13-$R$12)/12)</f>
        <v>#N/A</v>
      </c>
      <c r="Y43" s="40" t="e">
        <f>$Q$43*((13-$R$12)/12)</f>
        <v>#VALUE!</v>
      </c>
      <c r="Z43" s="57"/>
    </row>
    <row r="44" spans="1:29" x14ac:dyDescent="0.35">
      <c r="A44" s="364" t="s">
        <v>385</v>
      </c>
      <c r="B44" s="353"/>
      <c r="C44" s="353"/>
      <c r="D44" s="353"/>
      <c r="E44" s="353"/>
      <c r="F44" s="353"/>
      <c r="G44" s="353"/>
      <c r="H44" s="370" t="e">
        <f>SUM(H35:H38,H41:H43)</f>
        <v>#N/A</v>
      </c>
      <c r="I44" s="503" t="e">
        <f>SUM(I35:J38,I41:J43)</f>
        <v>#N/A</v>
      </c>
      <c r="J44" s="504"/>
      <c r="K44" s="505"/>
      <c r="L44" s="506"/>
      <c r="M44" s="506"/>
      <c r="N44" s="507"/>
      <c r="O44" s="358"/>
      <c r="P44" s="371">
        <f>SUM(P35:P38,P41:P43)</f>
        <v>2000</v>
      </c>
      <c r="Q44" s="508">
        <f>SUM(Q35:S38,Q41:S43)</f>
        <v>246000</v>
      </c>
      <c r="R44" s="509"/>
      <c r="S44" s="509"/>
      <c r="T44" s="505"/>
      <c r="U44" s="506"/>
      <c r="V44" s="506"/>
      <c r="W44" s="510"/>
      <c r="X44" s="60" t="e">
        <f>SUM(X35:X38,X41:X43)</f>
        <v>#N/A</v>
      </c>
      <c r="Y44" s="60" t="e">
        <f>SUM(Y35:Y38,Y41:Y43)</f>
        <v>#VALUE!</v>
      </c>
      <c r="Z44" s="41"/>
      <c r="AA44" s="41"/>
    </row>
    <row r="45" spans="1:29" ht="20.25" customHeight="1" x14ac:dyDescent="0.35">
      <c r="A45" s="327"/>
      <c r="B45" s="328"/>
      <c r="C45" s="328"/>
      <c r="D45" s="328"/>
      <c r="E45" s="328"/>
      <c r="F45" s="328"/>
      <c r="G45" s="328"/>
      <c r="H45" s="328"/>
      <c r="I45" s="328"/>
      <c r="J45" s="328"/>
      <c r="K45" s="328"/>
      <c r="L45" s="328"/>
      <c r="M45" s="328"/>
      <c r="N45" s="328"/>
      <c r="O45" s="358"/>
      <c r="P45" s="372" t="s">
        <v>386</v>
      </c>
      <c r="Q45" s="358"/>
      <c r="R45" s="358"/>
      <c r="S45" s="358"/>
      <c r="T45" s="358"/>
      <c r="U45" s="328"/>
      <c r="V45" s="328"/>
      <c r="W45" s="329"/>
    </row>
    <row r="46" spans="1:29" ht="18" customHeight="1" x14ac:dyDescent="0.35">
      <c r="A46" s="327"/>
      <c r="B46" s="328"/>
      <c r="C46" s="328"/>
      <c r="D46" s="328"/>
      <c r="E46" s="328"/>
      <c r="F46" s="328"/>
      <c r="G46" s="328"/>
      <c r="H46" s="328"/>
      <c r="I46" s="328"/>
      <c r="J46" s="328"/>
      <c r="K46" s="328"/>
      <c r="L46" s="328"/>
      <c r="M46" s="328"/>
      <c r="N46" s="328"/>
      <c r="O46" s="358"/>
      <c r="P46" s="373" t="s">
        <v>34</v>
      </c>
      <c r="Q46" s="514" t="s">
        <v>4</v>
      </c>
      <c r="R46" s="515"/>
      <c r="S46" s="516"/>
      <c r="T46" s="328"/>
      <c r="U46" s="328"/>
      <c r="V46" s="328"/>
      <c r="W46" s="329"/>
    </row>
    <row r="47" spans="1:29" ht="15.75" customHeight="1" x14ac:dyDescent="0.35">
      <c r="A47" s="327"/>
      <c r="B47" s="328"/>
      <c r="C47" s="328"/>
      <c r="D47" s="328"/>
      <c r="E47" s="328"/>
      <c r="F47" s="328"/>
      <c r="G47" s="328"/>
      <c r="H47" s="328"/>
      <c r="I47" s="328"/>
      <c r="J47" s="328"/>
      <c r="K47" s="328"/>
      <c r="L47" s="328"/>
      <c r="M47" s="328"/>
      <c r="N47" s="328"/>
      <c r="O47" s="358"/>
      <c r="P47" s="374" t="e">
        <f>(P44-H44)/H44</f>
        <v>#N/A</v>
      </c>
      <c r="Q47" s="511" t="e">
        <f>(Q44-I44)/I44</f>
        <v>#N/A</v>
      </c>
      <c r="R47" s="512"/>
      <c r="S47" s="513"/>
      <c r="T47" s="328"/>
      <c r="U47" s="328"/>
      <c r="V47" s="328"/>
      <c r="W47" s="329"/>
    </row>
    <row r="48" spans="1:29" ht="8.15" customHeight="1" x14ac:dyDescent="0.35">
      <c r="A48" s="327"/>
      <c r="B48" s="328"/>
      <c r="C48" s="328"/>
      <c r="D48" s="328"/>
      <c r="E48" s="328"/>
      <c r="F48" s="328"/>
      <c r="G48" s="328"/>
      <c r="H48" s="328"/>
      <c r="I48" s="328"/>
      <c r="J48" s="328"/>
      <c r="K48" s="328"/>
      <c r="L48" s="328"/>
      <c r="M48" s="328"/>
      <c r="N48" s="328"/>
      <c r="O48" s="328"/>
      <c r="P48" s="375"/>
      <c r="Q48" s="372"/>
      <c r="R48" s="372"/>
      <c r="S48" s="372"/>
      <c r="T48" s="376"/>
      <c r="U48" s="376"/>
      <c r="V48" s="376"/>
      <c r="W48" s="377"/>
      <c r="X48" s="71"/>
      <c r="Y48" s="71"/>
      <c r="Z48" s="71"/>
    </row>
    <row r="49" spans="1:26" ht="3.75" customHeight="1" x14ac:dyDescent="0.35">
      <c r="A49" s="378"/>
      <c r="B49" s="358"/>
      <c r="C49" s="358"/>
      <c r="D49" s="358"/>
      <c r="E49" s="358"/>
      <c r="F49" s="358"/>
      <c r="G49" s="358"/>
      <c r="H49" s="358"/>
      <c r="I49" s="358"/>
      <c r="J49" s="358"/>
      <c r="K49" s="358"/>
      <c r="L49" s="358"/>
      <c r="M49" s="358"/>
      <c r="N49" s="358"/>
      <c r="O49" s="358"/>
      <c r="P49" s="375"/>
      <c r="Q49" s="379"/>
      <c r="R49" s="379"/>
      <c r="S49" s="379"/>
      <c r="T49" s="380"/>
      <c r="U49" s="380"/>
      <c r="V49" s="380"/>
      <c r="W49" s="381"/>
      <c r="X49" s="73"/>
      <c r="Y49" s="73"/>
      <c r="Z49" s="73"/>
    </row>
    <row r="50" spans="1:26" x14ac:dyDescent="0.35">
      <c r="A50" s="352" t="s">
        <v>387</v>
      </c>
      <c r="B50" s="382"/>
      <c r="C50" s="382"/>
      <c r="D50" s="382"/>
      <c r="E50" s="382"/>
      <c r="F50" s="382"/>
      <c r="G50" s="382"/>
      <c r="H50" s="382"/>
      <c r="I50" s="382"/>
      <c r="J50" s="382"/>
      <c r="K50" s="382"/>
      <c r="L50" s="382"/>
      <c r="M50" s="382"/>
      <c r="N50" s="382"/>
      <c r="O50" s="353"/>
      <c r="P50" s="383"/>
      <c r="Q50" s="384"/>
      <c r="R50" s="384"/>
      <c r="S50" s="384"/>
      <c r="T50" s="385"/>
      <c r="U50" s="385"/>
      <c r="V50" s="385"/>
      <c r="W50" s="386"/>
      <c r="X50" s="74"/>
      <c r="Y50" s="74"/>
      <c r="Z50" s="74"/>
    </row>
    <row r="51" spans="1:26" ht="3.75" customHeight="1" x14ac:dyDescent="0.35">
      <c r="A51" s="378"/>
      <c r="B51" s="358"/>
      <c r="C51" s="358"/>
      <c r="D51" s="358"/>
      <c r="E51" s="358"/>
      <c r="F51" s="358"/>
      <c r="G51" s="358"/>
      <c r="H51" s="358"/>
      <c r="I51" s="358"/>
      <c r="J51" s="358"/>
      <c r="K51" s="358"/>
      <c r="L51" s="358"/>
      <c r="M51" s="358"/>
      <c r="N51" s="358"/>
      <c r="O51" s="358"/>
      <c r="P51" s="358"/>
      <c r="Q51" s="358"/>
      <c r="R51" s="358"/>
      <c r="S51" s="358"/>
      <c r="T51" s="358"/>
      <c r="U51" s="358"/>
      <c r="V51" s="358"/>
      <c r="W51" s="387"/>
      <c r="X51" s="39"/>
      <c r="Y51" s="39"/>
      <c r="Z51" s="39"/>
    </row>
    <row r="52" spans="1:26" x14ac:dyDescent="0.35">
      <c r="A52" s="220" t="s">
        <v>388</v>
      </c>
      <c r="B52" s="221"/>
      <c r="C52" s="221"/>
      <c r="D52" s="221"/>
      <c r="E52" s="221"/>
      <c r="F52" s="221"/>
      <c r="G52" s="221"/>
      <c r="H52" s="221"/>
      <c r="I52" s="221"/>
      <c r="J52" s="221"/>
      <c r="K52" s="221"/>
      <c r="L52" s="221"/>
      <c r="M52" s="221"/>
      <c r="N52" s="221"/>
      <c r="O52" s="221"/>
      <c r="P52" s="221"/>
      <c r="Q52" s="221"/>
      <c r="R52" s="221"/>
      <c r="S52" s="221"/>
      <c r="T52" s="221"/>
      <c r="U52" s="221"/>
      <c r="V52" s="221"/>
      <c r="W52" s="222"/>
      <c r="X52" s="14"/>
      <c r="Y52" s="14"/>
      <c r="Z52" s="14"/>
    </row>
    <row r="53" spans="1:26" ht="3" customHeight="1" thickBot="1" x14ac:dyDescent="0.4">
      <c r="A53" s="378"/>
      <c r="B53" s="358"/>
      <c r="C53" s="358"/>
      <c r="D53" s="358"/>
      <c r="E53" s="358"/>
      <c r="F53" s="358"/>
      <c r="G53" s="358"/>
      <c r="H53" s="358"/>
      <c r="I53" s="358"/>
      <c r="J53" s="358"/>
      <c r="K53" s="358"/>
      <c r="L53" s="358"/>
      <c r="M53" s="358"/>
      <c r="N53" s="358"/>
      <c r="O53" s="358"/>
      <c r="P53" s="358"/>
      <c r="Q53" s="358"/>
      <c r="R53" s="358"/>
      <c r="S53" s="358"/>
      <c r="T53" s="358"/>
      <c r="U53" s="358"/>
      <c r="V53" s="358"/>
      <c r="W53" s="387"/>
      <c r="X53" s="39"/>
      <c r="Y53" s="39"/>
      <c r="Z53" s="39"/>
    </row>
    <row r="54" spans="1:26" ht="30" customHeight="1" x14ac:dyDescent="0.35">
      <c r="A54" s="498" t="s">
        <v>389</v>
      </c>
      <c r="B54" s="499"/>
      <c r="C54" s="499"/>
      <c r="D54" s="499"/>
      <c r="E54" s="499"/>
      <c r="F54" s="499"/>
      <c r="G54" s="499"/>
      <c r="H54" s="500" t="s">
        <v>390</v>
      </c>
      <c r="I54" s="501"/>
      <c r="J54" s="501"/>
      <c r="K54" s="501"/>
      <c r="L54" s="501"/>
      <c r="M54" s="501"/>
      <c r="N54" s="501"/>
      <c r="O54" s="501"/>
      <c r="P54" s="501"/>
      <c r="Q54" s="501"/>
      <c r="R54" s="501"/>
      <c r="S54" s="501"/>
      <c r="T54" s="501"/>
      <c r="U54" s="501"/>
      <c r="V54" s="501"/>
      <c r="W54" s="502"/>
      <c r="X54" s="75"/>
      <c r="Y54" s="75"/>
      <c r="Z54" s="75"/>
    </row>
    <row r="55" spans="1:26" ht="30" customHeight="1" x14ac:dyDescent="0.35">
      <c r="A55" s="498" t="s">
        <v>391</v>
      </c>
      <c r="B55" s="499"/>
      <c r="C55" s="499"/>
      <c r="D55" s="499"/>
      <c r="E55" s="499"/>
      <c r="F55" s="499"/>
      <c r="G55" s="499"/>
      <c r="H55" s="500" t="s">
        <v>392</v>
      </c>
      <c r="I55" s="501"/>
      <c r="J55" s="501"/>
      <c r="K55" s="501"/>
      <c r="L55" s="501"/>
      <c r="M55" s="501"/>
      <c r="N55" s="501"/>
      <c r="O55" s="501"/>
      <c r="P55" s="501"/>
      <c r="Q55" s="501"/>
      <c r="R55" s="501"/>
      <c r="S55" s="501"/>
      <c r="T55" s="501"/>
      <c r="U55" s="501"/>
      <c r="V55" s="501"/>
      <c r="W55" s="502"/>
      <c r="X55" s="75"/>
      <c r="Y55" s="75"/>
      <c r="Z55" s="75"/>
    </row>
    <row r="56" spans="1:26" ht="3" customHeight="1" thickBot="1" x14ac:dyDescent="0.4">
      <c r="A56" s="378"/>
      <c r="B56" s="358"/>
      <c r="C56" s="358"/>
      <c r="D56" s="358"/>
      <c r="E56" s="358"/>
      <c r="F56" s="358"/>
      <c r="G56" s="358"/>
      <c r="H56" s="358"/>
      <c r="I56" s="358"/>
      <c r="J56" s="358"/>
      <c r="K56" s="358"/>
      <c r="L56" s="358"/>
      <c r="M56" s="358"/>
      <c r="N56" s="358"/>
      <c r="O56" s="358"/>
      <c r="P56" s="358"/>
      <c r="Q56" s="358"/>
      <c r="R56" s="358"/>
      <c r="S56" s="358"/>
      <c r="T56" s="358"/>
      <c r="U56" s="358"/>
      <c r="V56" s="358"/>
      <c r="W56" s="387"/>
      <c r="X56" s="39"/>
      <c r="Y56" s="39"/>
      <c r="Z56" s="39"/>
    </row>
    <row r="57" spans="1:26" x14ac:dyDescent="0.35">
      <c r="A57" s="220" t="s">
        <v>393</v>
      </c>
      <c r="B57" s="221"/>
      <c r="C57" s="221"/>
      <c r="D57" s="221"/>
      <c r="E57" s="221"/>
      <c r="F57" s="221" t="s">
        <v>394</v>
      </c>
      <c r="G57" s="221"/>
      <c r="H57" s="221"/>
      <c r="I57" s="221"/>
      <c r="J57" s="221"/>
      <c r="K57" s="221"/>
      <c r="L57" s="221"/>
      <c r="M57" s="221"/>
      <c r="N57" s="221"/>
      <c r="O57" s="221"/>
      <c r="P57" s="221"/>
      <c r="Q57" s="221"/>
      <c r="R57" s="221"/>
      <c r="S57" s="221"/>
      <c r="T57" s="221"/>
      <c r="U57" s="221"/>
      <c r="V57" s="221"/>
      <c r="W57" s="222"/>
      <c r="X57" s="14"/>
      <c r="Y57" s="14"/>
      <c r="Z57" s="14"/>
    </row>
    <row r="58" spans="1:26" x14ac:dyDescent="0.35">
      <c r="A58" s="243"/>
      <c r="B58" s="244"/>
      <c r="C58" s="244"/>
      <c r="D58" s="298"/>
      <c r="E58" s="298"/>
      <c r="F58" s="244" t="s">
        <v>395</v>
      </c>
      <c r="G58" s="244"/>
      <c r="H58" s="244"/>
      <c r="I58" s="244"/>
      <c r="J58" s="244" t="s">
        <v>396</v>
      </c>
      <c r="K58" s="330"/>
      <c r="L58" s="244"/>
      <c r="M58" s="298"/>
      <c r="N58" s="244" t="s">
        <v>397</v>
      </c>
      <c r="O58" s="297"/>
      <c r="P58" s="297"/>
      <c r="Q58" s="244" t="s">
        <v>398</v>
      </c>
      <c r="R58" s="297"/>
      <c r="S58" s="298"/>
      <c r="T58" s="298"/>
      <c r="U58" s="298"/>
      <c r="V58" s="298"/>
      <c r="W58" s="337"/>
      <c r="X58" s="9"/>
      <c r="Y58" s="9"/>
      <c r="Z58" s="9"/>
    </row>
    <row r="59" spans="1:26" ht="20.149999999999999" customHeight="1" x14ac:dyDescent="0.35">
      <c r="A59" s="338"/>
      <c r="B59" s="298"/>
      <c r="C59" s="298"/>
      <c r="D59" s="298"/>
      <c r="E59" s="298"/>
      <c r="F59" s="297"/>
      <c r="G59" s="297"/>
      <c r="H59" s="298"/>
      <c r="I59" s="298"/>
      <c r="J59" s="298"/>
      <c r="K59" s="298"/>
      <c r="L59" s="298"/>
      <c r="M59" s="298"/>
      <c r="N59" s="298"/>
      <c r="O59" s="298"/>
      <c r="P59" s="298"/>
      <c r="Q59" s="298"/>
      <c r="R59" s="298"/>
      <c r="S59" s="298"/>
      <c r="T59" s="298"/>
      <c r="U59" s="298"/>
      <c r="V59" s="298"/>
      <c r="W59" s="337"/>
      <c r="X59" s="9"/>
      <c r="Y59" s="9"/>
      <c r="Z59" s="9"/>
    </row>
    <row r="60" spans="1:26" x14ac:dyDescent="0.3">
      <c r="A60" s="388"/>
      <c r="B60" s="389"/>
      <c r="C60" s="389"/>
      <c r="D60" s="298"/>
      <c r="E60" s="298"/>
      <c r="F60" s="497" t="s">
        <v>106</v>
      </c>
      <c r="G60" s="497"/>
      <c r="H60" s="497"/>
      <c r="I60" s="297"/>
      <c r="J60" s="297" t="s">
        <v>399</v>
      </c>
      <c r="K60" s="297"/>
      <c r="L60" s="297"/>
      <c r="M60" s="328"/>
      <c r="N60" s="297" t="s">
        <v>119</v>
      </c>
      <c r="O60" s="297"/>
      <c r="P60" s="297"/>
      <c r="Q60" s="297" t="s">
        <v>400</v>
      </c>
      <c r="R60" s="298"/>
      <c r="S60" s="298"/>
      <c r="T60" s="297"/>
      <c r="U60" s="298"/>
      <c r="V60" s="298"/>
      <c r="W60" s="337"/>
      <c r="X60" s="9"/>
      <c r="Y60" s="9"/>
      <c r="Z60" s="9"/>
    </row>
    <row r="61" spans="1:26" ht="15" thickBot="1" x14ac:dyDescent="0.4">
      <c r="A61" s="245"/>
      <c r="B61" s="246"/>
      <c r="C61" s="246"/>
      <c r="D61" s="246"/>
      <c r="E61" s="246"/>
      <c r="F61" s="246" t="s">
        <v>401</v>
      </c>
      <c r="G61" s="246"/>
      <c r="H61" s="246"/>
      <c r="I61" s="246"/>
      <c r="J61" s="246" t="s">
        <v>402</v>
      </c>
      <c r="K61" s="246"/>
      <c r="L61" s="246"/>
      <c r="M61" s="246"/>
      <c r="N61" s="246" t="s">
        <v>403</v>
      </c>
      <c r="O61" s="246"/>
      <c r="P61" s="246"/>
      <c r="Q61" s="246" t="s">
        <v>404</v>
      </c>
      <c r="R61" s="246"/>
      <c r="S61" s="246"/>
      <c r="T61" s="246"/>
      <c r="U61" s="246"/>
      <c r="V61" s="246"/>
      <c r="W61" s="247"/>
      <c r="X61" s="84"/>
      <c r="Y61" s="84"/>
      <c r="Z61" s="84"/>
    </row>
    <row r="63" spans="1:26" hidden="1" x14ac:dyDescent="0.35">
      <c r="V63" s="85"/>
      <c r="W63" s="86"/>
      <c r="X63" s="86"/>
      <c r="Y63" s="86"/>
      <c r="Z63" s="86"/>
    </row>
    <row r="64" spans="1:26" hidden="1" x14ac:dyDescent="0.35">
      <c r="V64" s="85"/>
      <c r="W64" s="86"/>
      <c r="X64" s="86"/>
      <c r="Y64" s="86"/>
      <c r="Z64" s="86"/>
    </row>
    <row r="65" spans="22:26" hidden="1" x14ac:dyDescent="0.35">
      <c r="V65" s="85"/>
      <c r="W65" s="86"/>
      <c r="X65" s="86"/>
      <c r="Y65" s="86"/>
      <c r="Z65" s="86"/>
    </row>
    <row r="66" spans="22:26" hidden="1" x14ac:dyDescent="0.35">
      <c r="V66" s="85"/>
      <c r="W66" s="86"/>
      <c r="X66" s="86"/>
      <c r="Y66" s="86"/>
      <c r="Z66" s="86"/>
    </row>
    <row r="67" spans="22:26" hidden="1" x14ac:dyDescent="0.35">
      <c r="V67" s="85"/>
      <c r="W67" s="86"/>
      <c r="X67" s="86"/>
      <c r="Y67" s="86"/>
      <c r="Z67" s="86"/>
    </row>
    <row r="68" spans="22:26" hidden="1" x14ac:dyDescent="0.35">
      <c r="V68" s="85"/>
      <c r="W68" s="86"/>
      <c r="X68" s="86"/>
      <c r="Y68" s="86"/>
      <c r="Z68" s="86"/>
    </row>
    <row r="69" spans="22:26" hidden="1" x14ac:dyDescent="0.35">
      <c r="V69" s="85"/>
      <c r="W69" s="86"/>
      <c r="X69" s="86"/>
      <c r="Y69" s="86"/>
      <c r="Z69" s="86"/>
    </row>
    <row r="70" spans="22:26" hidden="1" x14ac:dyDescent="0.35">
      <c r="V70" s="85"/>
      <c r="W70" s="86"/>
      <c r="X70" s="86"/>
      <c r="Y70" s="86"/>
      <c r="Z70" s="86"/>
    </row>
    <row r="71" spans="22:26" hidden="1" x14ac:dyDescent="0.35">
      <c r="V71" s="85"/>
      <c r="W71" s="86"/>
      <c r="X71" s="86"/>
      <c r="Y71" s="86"/>
      <c r="Z71" s="86"/>
    </row>
    <row r="72" spans="22:26" hidden="1" x14ac:dyDescent="0.35">
      <c r="V72" s="85"/>
      <c r="W72" s="86"/>
      <c r="X72" s="86"/>
      <c r="Y72" s="86"/>
      <c r="Z72" s="86"/>
    </row>
    <row r="73" spans="22:26" hidden="1" x14ac:dyDescent="0.35">
      <c r="V73" s="85"/>
      <c r="W73" s="86"/>
      <c r="X73" s="86"/>
      <c r="Y73" s="86"/>
      <c r="Z73" s="86"/>
    </row>
    <row r="74" spans="22:26" hidden="1" x14ac:dyDescent="0.35">
      <c r="V74" s="85"/>
      <c r="W74" s="86"/>
      <c r="X74" s="86"/>
      <c r="Y74" s="86"/>
      <c r="Z74" s="86"/>
    </row>
    <row r="75" spans="22:26" hidden="1" x14ac:dyDescent="0.35">
      <c r="V75" s="85"/>
      <c r="W75" s="86"/>
      <c r="X75" s="86"/>
      <c r="Y75" s="86"/>
      <c r="Z75" s="86"/>
    </row>
    <row r="76" spans="22:26" hidden="1" x14ac:dyDescent="0.35">
      <c r="V76" s="85"/>
      <c r="W76" s="86"/>
      <c r="X76" s="86"/>
      <c r="Y76" s="86"/>
      <c r="Z76" s="86"/>
    </row>
    <row r="77" spans="22:26" hidden="1" x14ac:dyDescent="0.35">
      <c r="V77" s="85"/>
      <c r="W77" s="86"/>
      <c r="X77" s="86"/>
      <c r="Y77" s="86"/>
      <c r="Z77" s="86"/>
    </row>
    <row r="78" spans="22:26" hidden="1" x14ac:dyDescent="0.35">
      <c r="W78" s="87"/>
      <c r="X78" s="87"/>
      <c r="Y78" s="87"/>
      <c r="Z78" s="87"/>
    </row>
    <row r="79" spans="22:26" hidden="1" x14ac:dyDescent="0.35">
      <c r="W79" s="86"/>
      <c r="X79" s="86"/>
      <c r="Y79" s="86"/>
      <c r="Z79" s="86"/>
    </row>
    <row r="80" spans="22:26" hidden="1" x14ac:dyDescent="0.35">
      <c r="W80" s="86"/>
      <c r="X80" s="86"/>
      <c r="Y80" s="86"/>
      <c r="Z80" s="86"/>
    </row>
    <row r="81" spans="22:26" ht="15" hidden="1" thickBot="1" x14ac:dyDescent="0.4"/>
    <row r="82" spans="22:26" ht="15" hidden="1" thickBot="1" x14ac:dyDescent="0.4">
      <c r="V82" s="88"/>
      <c r="W82" s="89"/>
      <c r="X82" s="90"/>
      <c r="Y82" s="90"/>
      <c r="Z82" s="90"/>
    </row>
    <row r="83" spans="22:26" ht="15" hidden="1" thickBot="1" x14ac:dyDescent="0.4">
      <c r="V83" s="91"/>
      <c r="W83" s="92"/>
      <c r="X83" s="93"/>
      <c r="Y83" s="93"/>
      <c r="Z83" s="93"/>
    </row>
    <row r="84" spans="22:26" ht="15" hidden="1" thickBot="1" x14ac:dyDescent="0.4">
      <c r="V84" s="91"/>
      <c r="W84" s="92"/>
      <c r="X84" s="93"/>
      <c r="Y84" s="93"/>
      <c r="Z84" s="93"/>
    </row>
    <row r="85" spans="22:26" ht="15" hidden="1" thickBot="1" x14ac:dyDescent="0.4">
      <c r="V85" s="91"/>
      <c r="W85" s="92"/>
      <c r="X85" s="93"/>
      <c r="Y85" s="93"/>
      <c r="Z85" s="93"/>
    </row>
    <row r="86" spans="22:26" ht="15" hidden="1" thickBot="1" x14ac:dyDescent="0.4">
      <c r="V86" s="91"/>
      <c r="W86" s="92"/>
      <c r="X86" s="93"/>
      <c r="Y86" s="93"/>
      <c r="Z86" s="93"/>
    </row>
    <row r="87" spans="22:26" ht="15" hidden="1" thickBot="1" x14ac:dyDescent="0.4">
      <c r="V87" s="91"/>
      <c r="W87" s="92"/>
      <c r="X87" s="93"/>
      <c r="Y87" s="93"/>
      <c r="Z87" s="93"/>
    </row>
    <row r="88" spans="22:26" ht="15" hidden="1" thickBot="1" x14ac:dyDescent="0.4">
      <c r="V88" s="91"/>
      <c r="W88" s="92"/>
      <c r="X88" s="93"/>
      <c r="Y88" s="93"/>
      <c r="Z88" s="93"/>
    </row>
  </sheetData>
  <mergeCells count="83">
    <mergeCell ref="P40:W40"/>
    <mergeCell ref="A12:D12"/>
    <mergeCell ref="E12:M12"/>
    <mergeCell ref="B17:D17"/>
    <mergeCell ref="E17:H17"/>
    <mergeCell ref="N17:P17"/>
    <mergeCell ref="B21:D21"/>
    <mergeCell ref="E21:H21"/>
    <mergeCell ref="T33:W33"/>
    <mergeCell ref="A35:G35"/>
    <mergeCell ref="I35:J35"/>
    <mergeCell ref="K35:N35"/>
    <mergeCell ref="Q35:S35"/>
    <mergeCell ref="T35:W35"/>
    <mergeCell ref="B22:D22"/>
    <mergeCell ref="E22:H22"/>
    <mergeCell ref="A1:W1"/>
    <mergeCell ref="A2:W2"/>
    <mergeCell ref="E8:M8"/>
    <mergeCell ref="R8:V8"/>
    <mergeCell ref="I4:M4"/>
    <mergeCell ref="R4:V4"/>
    <mergeCell ref="E10:M10"/>
    <mergeCell ref="R10:V10"/>
    <mergeCell ref="B20:D20"/>
    <mergeCell ref="E20:H20"/>
    <mergeCell ref="N20:P20"/>
    <mergeCell ref="B18:D18"/>
    <mergeCell ref="E18:H18"/>
    <mergeCell ref="N18:P18"/>
    <mergeCell ref="B19:D19"/>
    <mergeCell ref="E19:H19"/>
    <mergeCell ref="N19:P19"/>
    <mergeCell ref="R12:V12"/>
    <mergeCell ref="N21:P21"/>
    <mergeCell ref="A32:G33"/>
    <mergeCell ref="H32:N32"/>
    <mergeCell ref="P32:W32"/>
    <mergeCell ref="I33:J33"/>
    <mergeCell ref="K33:N33"/>
    <mergeCell ref="Q33:S33"/>
    <mergeCell ref="N22:P22"/>
    <mergeCell ref="A36:G36"/>
    <mergeCell ref="I36:J36"/>
    <mergeCell ref="K36:N36"/>
    <mergeCell ref="Q36:S36"/>
    <mergeCell ref="T36:W36"/>
    <mergeCell ref="A37:G37"/>
    <mergeCell ref="I37:J37"/>
    <mergeCell ref="K37:N37"/>
    <mergeCell ref="Q37:S37"/>
    <mergeCell ref="T37:W37"/>
    <mergeCell ref="A38:G38"/>
    <mergeCell ref="I38:J38"/>
    <mergeCell ref="K38:N38"/>
    <mergeCell ref="Q38:S38"/>
    <mergeCell ref="T38:W38"/>
    <mergeCell ref="A41:G41"/>
    <mergeCell ref="I41:J41"/>
    <mergeCell ref="K41:N41"/>
    <mergeCell ref="Q41:S41"/>
    <mergeCell ref="T41:W41"/>
    <mergeCell ref="A42:G42"/>
    <mergeCell ref="I42:J42"/>
    <mergeCell ref="K42:N42"/>
    <mergeCell ref="Q42:S42"/>
    <mergeCell ref="T42:W42"/>
    <mergeCell ref="A43:G43"/>
    <mergeCell ref="I43:J43"/>
    <mergeCell ref="K43:N43"/>
    <mergeCell ref="Q43:S43"/>
    <mergeCell ref="T43:W43"/>
    <mergeCell ref="I44:J44"/>
    <mergeCell ref="K44:N44"/>
    <mergeCell ref="Q44:S44"/>
    <mergeCell ref="T44:W44"/>
    <mergeCell ref="Q47:S47"/>
    <mergeCell ref="Q46:S46"/>
    <mergeCell ref="F60:H60"/>
    <mergeCell ref="A55:G55"/>
    <mergeCell ref="H55:W55"/>
    <mergeCell ref="A54:G54"/>
    <mergeCell ref="H54:W54"/>
  </mergeCells>
  <dataValidations count="5">
    <dataValidation type="list" allowBlank="1" showInputMessage="1" showErrorMessage="1" sqref="W47:Z47" xr:uid="{5C38A6B2-B43D-48C1-AB00-416E4E593629}">
      <formula1>$W$79:$W$80</formula1>
    </dataValidation>
    <dataValidation type="list" allowBlank="1" showInputMessage="1" showErrorMessage="1" sqref="W46:Z46" xr:uid="{588D67AD-8D47-4797-A88B-ACBA77246F54}">
      <formula1>$W$63:$W$77</formula1>
    </dataValidation>
    <dataValidation allowBlank="1" showInputMessage="1" showErrorMessage="1" prompt="from LCM" sqref="A12:D12" xr:uid="{DB09A034-B254-4066-99C3-4909B4B1786B}"/>
    <dataValidation allowBlank="1" showInputMessage="1" showErrorMessage="1" prompt="Assumption: 275 annual workdays times P90_x000a__x000a_For ULCH Product Associates; applicable only while on probation or when company car is already issued" sqref="T38:W38" xr:uid="{867CBCAF-E605-480E-897E-8DB769F99CCF}"/>
    <dataValidation allowBlank="1" showInputMessage="1" showErrorMessage="1" sqref="R10:V10 P4" xr:uid="{F03C8EFE-57AC-4011-B402-D8ED5E52B23A}"/>
  </dataValidations>
  <printOptions horizontalCentered="1" verticalCentered="1"/>
  <pageMargins left="0.23622047244094491" right="0.23622047244094491" top="0.23622047244094491" bottom="0.23622047244094491" header="3.937007874015748E-2" footer="3.937007874015748E-2"/>
  <pageSetup scale="75" fitToWidth="0" fitToHeight="0" orientation="portrait" r:id="rId1"/>
  <headerFooter scaleWithDoc="0" alignWithMargins="0"/>
  <extLst>
    <ext xmlns:x14="http://schemas.microsoft.com/office/spreadsheetml/2009/9/main" uri="{CCE6A557-97BC-4b89-ADB6-D9C93CAAB3DF}">
      <x14:dataValidations xmlns:xm="http://schemas.microsoft.com/office/excel/2006/main" count="17">
        <x14:dataValidation type="list" allowBlank="1" showInputMessage="1" showErrorMessage="1" xr:uid="{5D8BC03D-9415-45E9-BF76-56B445609235}">
          <x14:formula1>
            <xm:f>'Drop Down List'!$B$2:$B$4</xm:f>
          </x14:formula1>
          <xm:sqref>E17:H17</xm:sqref>
        </x14:dataValidation>
        <x14:dataValidation type="list" allowBlank="1" showInputMessage="1" showErrorMessage="1" xr:uid="{EC3FECE6-180A-4FE4-AA88-1C507E1926BF}">
          <x14:formula1>
            <xm:f>'Drop Down List'!$B$8:$B$16</xm:f>
          </x14:formula1>
          <xm:sqref>E18:H18</xm:sqref>
        </x14:dataValidation>
        <x14:dataValidation type="list" allowBlank="1" showInputMessage="1" showErrorMessage="1" xr:uid="{D023C136-F422-4DAE-B2DE-F11D48234EE6}">
          <x14:formula1>
            <xm:f>'Drop Down List'!$B$17:$B$26</xm:f>
          </x14:formula1>
          <xm:sqref>E19:H19</xm:sqref>
        </x14:dataValidation>
        <x14:dataValidation type="list" allowBlank="1" showInputMessage="1" showErrorMessage="1" xr:uid="{8AB3CFCD-6084-44FF-87B5-8DE4B342C622}">
          <x14:formula1>
            <xm:f>'Drop Down List'!$B$27:$B$29</xm:f>
          </x14:formula1>
          <xm:sqref>E20:H20</xm:sqref>
        </x14:dataValidation>
        <x14:dataValidation type="list" allowBlank="1" showInputMessage="1" showErrorMessage="1" xr:uid="{0F30FE58-4421-404E-A4CA-19A921CE27A9}">
          <x14:formula1>
            <xm:f>'Drop Down List'!$B$30:$B$31</xm:f>
          </x14:formula1>
          <xm:sqref>E21:H21</xm:sqref>
        </x14:dataValidation>
        <x14:dataValidation type="list" allowBlank="1" showInputMessage="1" showErrorMessage="1" xr:uid="{3CD3A198-3AA2-4629-9B35-4DC335CE4A7A}">
          <x14:formula1>
            <xm:f>'Drop Down List'!$B$32:$B$35</xm:f>
          </x14:formula1>
          <xm:sqref>E22:H22</xm:sqref>
        </x14:dataValidation>
        <x14:dataValidation type="list" allowBlank="1" showInputMessage="1" showErrorMessage="1" xr:uid="{87E668DA-EF1D-40A1-B62F-6767D3796C86}">
          <x14:formula1>
            <xm:f>'Drop Down List'!$F$2:$F$16</xm:f>
          </x14:formula1>
          <xm:sqref>Q17</xm:sqref>
        </x14:dataValidation>
        <x14:dataValidation type="list" allowBlank="1" showInputMessage="1" showErrorMessage="1" xr:uid="{2A87965E-3878-446D-9849-A71D4F88383B}">
          <x14:formula1>
            <xm:f>'Drop Down List'!$E$18:$E$20</xm:f>
          </x14:formula1>
          <xm:sqref>Q18</xm:sqref>
        </x14:dataValidation>
        <x14:dataValidation type="list" allowBlank="1" showInputMessage="1" showErrorMessage="1" xr:uid="{C5213A51-A9C5-4902-8E29-697692EACEB2}">
          <x14:formula1>
            <xm:f>'Drop Down List'!$E$21:$E$23</xm:f>
          </x14:formula1>
          <xm:sqref>Q19</xm:sqref>
        </x14:dataValidation>
        <x14:dataValidation type="list" allowBlank="1" showInputMessage="1" showErrorMessage="1" xr:uid="{677E88F6-85B2-4159-B9BA-108C2BF8B5ED}">
          <x14:formula1>
            <xm:f>'Drop Down List'!$B$39:$B$41</xm:f>
          </x14:formula1>
          <xm:sqref>Q20</xm:sqref>
        </x14:dataValidation>
        <x14:dataValidation type="list" allowBlank="1" showInputMessage="1" showErrorMessage="1" xr:uid="{41682146-25CE-4371-A313-E5B07BA67211}">
          <x14:formula1>
            <xm:f>'Drop Down List'!$E$24:$E$26</xm:f>
          </x14:formula1>
          <xm:sqref>Q21</xm:sqref>
        </x14:dataValidation>
        <x14:dataValidation type="list" allowBlank="1" showInputMessage="1" showErrorMessage="1" xr:uid="{BB8F2DC4-A50A-493C-9B92-A39D680E0A70}">
          <x14:formula1>
            <xm:f>'Drop Down List'!$E$27:$E$29</xm:f>
          </x14:formula1>
          <xm:sqref>Q22</xm:sqref>
        </x14:dataValidation>
        <x14:dataValidation type="list" allowBlank="1" showInputMessage="1" showErrorMessage="1" xr:uid="{6BB96D3E-A0DC-404C-98BA-44CBB7E7A4E2}">
          <x14:formula1>
            <xm:f>'Drop Down List'!$E$31:$E$46</xm:f>
          </x14:formula1>
          <xm:sqref>R8:V8</xm:sqref>
        </x14:dataValidation>
        <x14:dataValidation type="list" allowBlank="1" showInputMessage="1" showErrorMessage="1" xr:uid="{2443DE92-C9C9-440F-A4E2-CC7B291752D7}">
          <x14:formula1>
            <xm:f>'Drop Down List'!$B$46:$B$50</xm:f>
          </x14:formula1>
          <xm:sqref>F60:H60</xm:sqref>
        </x14:dataValidation>
        <x14:dataValidation type="list" allowBlank="1" showInputMessage="1" showErrorMessage="1" xr:uid="{D8B7C044-CD2B-4693-9C01-A9AD1E70D368}">
          <x14:formula1>
            <xm:f>'Drop Down List'!$B$57:$B$58</xm:f>
          </x14:formula1>
          <xm:sqref>A1:W1 I4:M4</xm:sqref>
        </x14:dataValidation>
        <x14:dataValidation type="list" errorStyle="warning" allowBlank="1" xr:uid="{1B6C13AD-1D51-4FBB-B9D6-EA19D6C5043A}">
          <x14:formula1>
            <xm:f>'Drop Down List'!$D$53</xm:f>
          </x14:formula1>
          <xm:sqref>H54:W54</xm:sqref>
        </x14:dataValidation>
        <x14:dataValidation type="list" errorStyle="warning" allowBlank="1" showInputMessage="1" xr:uid="{933C173F-8130-49C8-B2F2-00FB59E8174B}">
          <x14:formula1>
            <xm:f>'Drop Down List'!$D$54</xm:f>
          </x14:formula1>
          <xm:sqref>H55:W55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3C570-0043-4EE9-90CA-3DA08CC2C84F}">
  <sheetPr>
    <tabColor rgb="FF00B0F0"/>
  </sheetPr>
  <dimension ref="B1:Y59"/>
  <sheetViews>
    <sheetView showGridLines="0" zoomScale="85" zoomScaleNormal="85" zoomScaleSheetLayoutView="100" workbookViewId="0">
      <selection activeCell="G12" sqref="G12"/>
    </sheetView>
  </sheetViews>
  <sheetFormatPr defaultColWidth="9.1796875" defaultRowHeight="15" customHeight="1" x14ac:dyDescent="0.35"/>
  <cols>
    <col min="1" max="1" width="2" style="2" customWidth="1"/>
    <col min="2" max="2" width="32.1796875" style="2" bestFit="1" customWidth="1"/>
    <col min="3" max="3" width="14.453125" style="2" customWidth="1"/>
    <col min="4" max="4" width="11.81640625" style="2" customWidth="1"/>
    <col min="5" max="5" width="1.26953125" style="2" customWidth="1"/>
    <col min="6" max="6" width="17.81640625" style="2" bestFit="1" customWidth="1"/>
    <col min="7" max="8" width="14.54296875" style="2" customWidth="1"/>
    <col min="9" max="9" width="13.453125" style="2" customWidth="1"/>
    <col min="10" max="10" width="13" style="2" customWidth="1"/>
    <col min="11" max="11" width="12.7265625" style="2" customWidth="1"/>
    <col min="12" max="12" width="15.1796875" style="2" customWidth="1"/>
    <col min="13" max="13" width="16" style="2" customWidth="1"/>
    <col min="14" max="14" width="1.26953125" style="2" customWidth="1"/>
    <col min="15" max="16" width="12.1796875" style="2" customWidth="1"/>
    <col min="17" max="17" width="14.453125" style="2" bestFit="1" customWidth="1"/>
    <col min="18" max="18" width="13.54296875" style="2" bestFit="1" customWidth="1"/>
    <col min="19" max="19" width="1.26953125" style="2" customWidth="1"/>
    <col min="20" max="22" width="14.453125" style="2" customWidth="1"/>
    <col min="23" max="23" width="13.54296875" style="2" bestFit="1" customWidth="1"/>
    <col min="24" max="16384" width="9.1796875" style="2"/>
  </cols>
  <sheetData>
    <row r="1" spans="2:25" ht="14.5" x14ac:dyDescent="0.35">
      <c r="B1" s="206" t="s">
        <v>405</v>
      </c>
    </row>
    <row r="2" spans="2:25" ht="14.5" x14ac:dyDescent="0.35">
      <c r="B2" s="476" t="s">
        <v>406</v>
      </c>
      <c r="C2" s="622" t="s">
        <v>407</v>
      </c>
      <c r="D2" s="623"/>
      <c r="E2" s="102"/>
      <c r="F2" s="624" t="s">
        <v>408</v>
      </c>
      <c r="G2" s="625"/>
      <c r="H2" s="626" t="s">
        <v>409</v>
      </c>
      <c r="I2" s="613" t="s">
        <v>410</v>
      </c>
      <c r="J2" s="628" t="s">
        <v>411</v>
      </c>
      <c r="K2" s="629"/>
      <c r="L2" s="613" t="s">
        <v>412</v>
      </c>
      <c r="M2" s="613" t="s">
        <v>366</v>
      </c>
      <c r="N2" s="613"/>
      <c r="O2" s="613"/>
      <c r="P2" s="613"/>
      <c r="Q2" s="614"/>
    </row>
    <row r="3" spans="2:25" ht="14.5" customHeight="1" x14ac:dyDescent="0.35">
      <c r="B3" s="617" t="e">
        <f>'JO Regular'!E8</f>
        <v>#N/A</v>
      </c>
      <c r="C3" s="473" t="s">
        <v>413</v>
      </c>
      <c r="D3" s="470" t="s">
        <v>414</v>
      </c>
      <c r="E3" s="102"/>
      <c r="F3" s="463" t="s">
        <v>413</v>
      </c>
      <c r="G3" s="463" t="s">
        <v>414</v>
      </c>
      <c r="H3" s="627"/>
      <c r="I3" s="615"/>
      <c r="J3" s="104" t="s">
        <v>364</v>
      </c>
      <c r="K3" s="104" t="s">
        <v>365</v>
      </c>
      <c r="L3" s="615"/>
      <c r="M3" s="615"/>
      <c r="N3" s="615"/>
      <c r="O3" s="615"/>
      <c r="P3" s="615"/>
      <c r="Q3" s="616"/>
    </row>
    <row r="4" spans="2:25" ht="14.5" x14ac:dyDescent="0.35">
      <c r="B4" s="618"/>
      <c r="C4" s="474" t="e">
        <f>'JO Regular'!H35</f>
        <v>#N/A</v>
      </c>
      <c r="D4" s="467">
        <v>13</v>
      </c>
      <c r="E4" s="105"/>
      <c r="F4" s="464" t="e">
        <f>(C4*D4)/G4</f>
        <v>#N/A</v>
      </c>
      <c r="G4" s="632">
        <v>15</v>
      </c>
      <c r="H4" s="461" t="s">
        <v>415</v>
      </c>
      <c r="I4" s="293">
        <v>67200</v>
      </c>
      <c r="J4" s="107" t="e">
        <f>F27</f>
        <v>#N/A</v>
      </c>
      <c r="K4" s="107" t="e">
        <f>G27</f>
        <v>#N/A</v>
      </c>
      <c r="L4" s="295">
        <v>8</v>
      </c>
      <c r="M4" s="619" t="s">
        <v>416</v>
      </c>
      <c r="N4" s="620"/>
      <c r="O4" s="620"/>
      <c r="P4" s="620"/>
      <c r="Q4" s="621"/>
    </row>
    <row r="5" spans="2:25" ht="14.5" x14ac:dyDescent="0.35">
      <c r="B5" s="471"/>
      <c r="C5" s="460"/>
      <c r="D5" s="468"/>
      <c r="E5" s="105"/>
      <c r="F5" s="465"/>
      <c r="G5" s="633"/>
      <c r="H5" s="461" t="s">
        <v>417</v>
      </c>
      <c r="I5" s="293">
        <v>70000</v>
      </c>
      <c r="J5" s="107" t="e">
        <f>H27</f>
        <v>#N/A</v>
      </c>
      <c r="K5" s="107" t="e">
        <f>I27</f>
        <v>#N/A</v>
      </c>
      <c r="L5" s="295">
        <v>9</v>
      </c>
      <c r="M5" s="619" t="s">
        <v>418</v>
      </c>
      <c r="N5" s="620"/>
      <c r="O5" s="620"/>
      <c r="P5" s="620"/>
      <c r="Q5" s="621"/>
    </row>
    <row r="6" spans="2:25" ht="14.5" x14ac:dyDescent="0.35">
      <c r="B6" s="471"/>
      <c r="C6" s="460"/>
      <c r="D6" s="468"/>
      <c r="E6" s="105"/>
      <c r="F6" s="465"/>
      <c r="G6" s="633"/>
      <c r="H6" s="461" t="s">
        <v>419</v>
      </c>
      <c r="I6" s="293">
        <v>73000</v>
      </c>
      <c r="J6" s="107" t="e">
        <f>J27</f>
        <v>#N/A</v>
      </c>
      <c r="K6" s="107" t="e">
        <f>K27</f>
        <v>#N/A</v>
      </c>
      <c r="L6" s="295">
        <v>9</v>
      </c>
      <c r="M6" s="619" t="s">
        <v>420</v>
      </c>
      <c r="N6" s="620"/>
      <c r="O6" s="620"/>
      <c r="P6" s="620"/>
      <c r="Q6" s="621"/>
    </row>
    <row r="7" spans="2:25" ht="14.5" x14ac:dyDescent="0.35">
      <c r="B7" s="472"/>
      <c r="C7" s="475"/>
      <c r="D7" s="469"/>
      <c r="E7" s="105"/>
      <c r="F7" s="466"/>
      <c r="G7" s="634"/>
      <c r="H7" s="462" t="s">
        <v>421</v>
      </c>
      <c r="I7" s="294"/>
      <c r="J7" s="109" t="e">
        <f>L27</f>
        <v>#N/A</v>
      </c>
      <c r="K7" s="109" t="e">
        <f>M27</f>
        <v>#N/A</v>
      </c>
      <c r="L7" s="296"/>
      <c r="M7" s="630"/>
      <c r="N7" s="630"/>
      <c r="O7" s="630"/>
      <c r="P7" s="630"/>
      <c r="Q7" s="631"/>
    </row>
    <row r="8" spans="2:25" s="6" customFormat="1" ht="22.5" customHeight="1" x14ac:dyDescent="0.35">
      <c r="B8" s="18"/>
      <c r="C8" s="253"/>
      <c r="D8" s="205"/>
      <c r="F8" s="9"/>
      <c r="G8" s="9"/>
      <c r="I8" s="9"/>
      <c r="O8" s="2"/>
      <c r="P8" s="2"/>
      <c r="Q8" s="2"/>
      <c r="R8" s="2"/>
      <c r="S8" s="2"/>
      <c r="T8" s="2"/>
      <c r="U8" s="2"/>
      <c r="V8" s="2"/>
      <c r="W8" s="2"/>
      <c r="X8" s="2"/>
      <c r="Y8" s="2"/>
    </row>
    <row r="9" spans="2:25" ht="14.5" x14ac:dyDescent="0.35">
      <c r="B9" s="609" t="s">
        <v>361</v>
      </c>
      <c r="C9" s="611" t="s">
        <v>362</v>
      </c>
      <c r="D9" s="612"/>
      <c r="F9" s="286" t="s">
        <v>422</v>
      </c>
      <c r="G9" s="287"/>
      <c r="H9" s="286" t="s">
        <v>423</v>
      </c>
      <c r="I9" s="255"/>
      <c r="J9" s="286" t="s">
        <v>424</v>
      </c>
      <c r="K9" s="255"/>
      <c r="L9" s="286" t="s">
        <v>425</v>
      </c>
      <c r="M9" s="286"/>
    </row>
    <row r="10" spans="2:25" ht="14.5" x14ac:dyDescent="0.35">
      <c r="B10" s="610"/>
      <c r="C10" s="28" t="s">
        <v>364</v>
      </c>
      <c r="D10" s="250" t="s">
        <v>365</v>
      </c>
      <c r="F10" s="254" t="s">
        <v>364</v>
      </c>
      <c r="G10" s="256" t="s">
        <v>365</v>
      </c>
      <c r="H10" s="254" t="s">
        <v>364</v>
      </c>
      <c r="I10" s="256" t="s">
        <v>365</v>
      </c>
      <c r="J10" s="254" t="s">
        <v>364</v>
      </c>
      <c r="K10" s="256" t="s">
        <v>365</v>
      </c>
      <c r="L10" s="254" t="s">
        <v>364</v>
      </c>
      <c r="M10" s="250" t="s">
        <v>365</v>
      </c>
    </row>
    <row r="11" spans="2:25" ht="14.5" x14ac:dyDescent="0.35">
      <c r="B11" s="207" t="s">
        <v>369</v>
      </c>
      <c r="C11" s="208"/>
      <c r="D11" s="209"/>
      <c r="F11" s="208"/>
      <c r="G11" s="208"/>
      <c r="H11" s="211"/>
      <c r="I11" s="208"/>
      <c r="J11" s="211"/>
      <c r="K11" s="208"/>
      <c r="L11" s="211"/>
      <c r="M11" s="209"/>
    </row>
    <row r="12" spans="2:25" s="6" customFormat="1" ht="14.5" x14ac:dyDescent="0.35">
      <c r="B12" s="257" t="s">
        <v>370</v>
      </c>
      <c r="C12" s="258" t="e">
        <f>'JO Regular'!H35</f>
        <v>#N/A</v>
      </c>
      <c r="D12" s="259" t="e">
        <f>'JO Regular'!I35</f>
        <v>#N/A</v>
      </c>
      <c r="F12" s="390">
        <f>I4</f>
        <v>67200</v>
      </c>
      <c r="G12" s="267">
        <f>F12*12</f>
        <v>806400</v>
      </c>
      <c r="H12" s="267">
        <f>I5</f>
        <v>70000</v>
      </c>
      <c r="I12" s="267">
        <f>H12*12</f>
        <v>840000</v>
      </c>
      <c r="J12" s="267">
        <f>I6</f>
        <v>73000</v>
      </c>
      <c r="K12" s="267">
        <f>J12*12</f>
        <v>876000</v>
      </c>
      <c r="L12" s="267">
        <f>I7</f>
        <v>0</v>
      </c>
      <c r="M12" s="268">
        <f>L12*12</f>
        <v>0</v>
      </c>
      <c r="O12" s="2"/>
      <c r="P12" s="2"/>
      <c r="Q12" s="2"/>
      <c r="R12" s="2"/>
      <c r="S12" s="2"/>
      <c r="T12" s="2"/>
      <c r="U12" s="2"/>
      <c r="V12" s="2"/>
      <c r="W12" s="2"/>
      <c r="X12" s="2"/>
      <c r="Y12" s="2"/>
    </row>
    <row r="13" spans="2:25" ht="15.75" customHeight="1" x14ac:dyDescent="0.35">
      <c r="B13" s="260" t="s">
        <v>371</v>
      </c>
      <c r="C13" s="261">
        <f>'JO Regular'!H36</f>
        <v>0</v>
      </c>
      <c r="D13" s="262" t="e">
        <f>'JO Regular'!I36</f>
        <v>#N/A</v>
      </c>
      <c r="F13" s="210">
        <f>'JO Regular'!$P$36</f>
        <v>0</v>
      </c>
      <c r="G13" s="269">
        <f>F12</f>
        <v>67200</v>
      </c>
      <c r="H13" s="390">
        <f>'JO Regular'!$P$36</f>
        <v>0</v>
      </c>
      <c r="I13" s="269">
        <f>H12*1</f>
        <v>70000</v>
      </c>
      <c r="J13" s="390">
        <f>'JO Regular'!$P$36</f>
        <v>0</v>
      </c>
      <c r="K13" s="269">
        <f>J12*1</f>
        <v>73000</v>
      </c>
      <c r="L13" s="390">
        <f>'JO Regular'!$P$36</f>
        <v>0</v>
      </c>
      <c r="M13" s="391">
        <f>L12*1</f>
        <v>0</v>
      </c>
    </row>
    <row r="14" spans="2:25" s="6" customFormat="1" ht="15" customHeight="1" x14ac:dyDescent="0.35">
      <c r="B14" s="260" t="s">
        <v>373</v>
      </c>
      <c r="C14" s="261">
        <f>'JO Regular'!H37</f>
        <v>0</v>
      </c>
      <c r="D14" s="262" t="e">
        <f>'JO Regular'!I37</f>
        <v>#N/A</v>
      </c>
      <c r="F14" s="210">
        <f>'JO Regular'!$P$37</f>
        <v>0</v>
      </c>
      <c r="G14" s="269">
        <f>F12*2</f>
        <v>134400</v>
      </c>
      <c r="H14" s="390">
        <f>'JO Regular'!$P$37</f>
        <v>0</v>
      </c>
      <c r="I14" s="269">
        <f>H12*2</f>
        <v>140000</v>
      </c>
      <c r="J14" s="390">
        <f>'JO Regular'!$P$37</f>
        <v>0</v>
      </c>
      <c r="K14" s="269">
        <f>J12*2</f>
        <v>146000</v>
      </c>
      <c r="L14" s="390">
        <f>'JO Regular'!$P$37</f>
        <v>0</v>
      </c>
      <c r="M14" s="391">
        <f>L12*2</f>
        <v>0</v>
      </c>
      <c r="O14" s="2"/>
      <c r="P14" s="2"/>
      <c r="Q14" s="2"/>
      <c r="R14" s="2"/>
      <c r="S14" s="2"/>
      <c r="T14" s="2"/>
      <c r="U14" s="2"/>
      <c r="V14" s="2"/>
      <c r="W14" s="2"/>
      <c r="X14" s="2"/>
      <c r="Y14" s="2"/>
    </row>
    <row r="15" spans="2:25" s="6" customFormat="1" ht="15" customHeight="1" x14ac:dyDescent="0.35">
      <c r="B15" s="263" t="s">
        <v>426</v>
      </c>
      <c r="C15" s="264">
        <f>'JO Regular'!H38</f>
        <v>0</v>
      </c>
      <c r="D15" s="265">
        <f>'JO Regular'!I38</f>
        <v>25000</v>
      </c>
      <c r="F15" s="270">
        <f>'JO Regular'!$P$38</f>
        <v>2000</v>
      </c>
      <c r="G15" s="271">
        <f>'JO Regular'!$Q$38</f>
        <v>24000</v>
      </c>
      <c r="H15" s="392">
        <f>'JO Regular'!$P$38</f>
        <v>2000</v>
      </c>
      <c r="I15" s="271">
        <f>'JO Regular'!$Q$38</f>
        <v>24000</v>
      </c>
      <c r="J15" s="392">
        <f>'JO Regular'!$P$38</f>
        <v>2000</v>
      </c>
      <c r="K15" s="271">
        <f>'JO Regular'!$Q$38</f>
        <v>24000</v>
      </c>
      <c r="L15" s="392">
        <f>'JO Regular'!$P$38</f>
        <v>2000</v>
      </c>
      <c r="M15" s="393">
        <f>'JO Regular'!$Q$38</f>
        <v>24000</v>
      </c>
      <c r="O15" s="2"/>
      <c r="P15" s="2"/>
      <c r="Q15" s="2"/>
      <c r="R15" s="2"/>
      <c r="S15" s="2"/>
      <c r="T15" s="2"/>
      <c r="U15" s="2"/>
      <c r="V15" s="2"/>
      <c r="W15" s="2"/>
      <c r="X15" s="2"/>
      <c r="Y15" s="2"/>
    </row>
    <row r="16" spans="2:25" s="6" customFormat="1" ht="6" customHeight="1" x14ac:dyDescent="0.35">
      <c r="B16" s="251"/>
      <c r="C16" s="9"/>
      <c r="D16" s="252"/>
      <c r="F16" s="273"/>
      <c r="G16" s="9"/>
      <c r="H16" s="273"/>
      <c r="I16" s="9"/>
      <c r="J16" s="273"/>
      <c r="K16" s="9"/>
      <c r="L16" s="273"/>
      <c r="M16" s="252"/>
      <c r="O16" s="2"/>
      <c r="P16" s="2"/>
      <c r="Q16" s="2"/>
      <c r="R16" s="2"/>
      <c r="S16" s="2"/>
      <c r="T16" s="2"/>
      <c r="U16" s="2"/>
      <c r="V16" s="2"/>
      <c r="W16" s="2"/>
      <c r="X16" s="2"/>
      <c r="Y16" s="2"/>
    </row>
    <row r="17" spans="2:13" ht="14.5" x14ac:dyDescent="0.35">
      <c r="B17" s="213" t="s">
        <v>378</v>
      </c>
      <c r="C17" s="208"/>
      <c r="D17" s="209"/>
      <c r="F17" s="211"/>
      <c r="G17" s="208"/>
      <c r="H17" s="211"/>
      <c r="I17" s="208"/>
      <c r="J17" s="211"/>
      <c r="K17" s="208"/>
      <c r="L17" s="211"/>
      <c r="M17" s="209"/>
    </row>
    <row r="18" spans="2:13" ht="15" customHeight="1" x14ac:dyDescent="0.35">
      <c r="B18" s="257" t="s">
        <v>380</v>
      </c>
      <c r="C18" s="214">
        <f>'JO Regular'!H41</f>
        <v>0</v>
      </c>
      <c r="D18" s="259" t="e">
        <f>'JO Regular'!I41</f>
        <v>#N/A</v>
      </c>
      <c r="F18" s="266">
        <f>'JO Regular'!$P$41</f>
        <v>0</v>
      </c>
      <c r="G18" s="267">
        <f>F12</f>
        <v>67200</v>
      </c>
      <c r="H18" s="394">
        <f>'JO Regular'!$P$41</f>
        <v>0</v>
      </c>
      <c r="I18" s="267">
        <f>H12</f>
        <v>70000</v>
      </c>
      <c r="J18" s="394">
        <f>'JO Regular'!$P$41</f>
        <v>0</v>
      </c>
      <c r="K18" s="267">
        <f>J12</f>
        <v>73000</v>
      </c>
      <c r="L18" s="394">
        <f>'JO Regular'!$P$41</f>
        <v>0</v>
      </c>
      <c r="M18" s="395">
        <f>L12</f>
        <v>0</v>
      </c>
    </row>
    <row r="19" spans="2:13" ht="15" customHeight="1" x14ac:dyDescent="0.35">
      <c r="B19" s="260" t="s">
        <v>382</v>
      </c>
      <c r="C19" s="212">
        <f>'JO Regular'!H42</f>
        <v>0</v>
      </c>
      <c r="D19" s="272" t="e">
        <f>'JO Regular'!I42</f>
        <v>#N/A</v>
      </c>
      <c r="F19" s="210">
        <f>'JO Regular'!$P$42</f>
        <v>0</v>
      </c>
      <c r="G19" s="269">
        <f>'JO Regular'!$Q$42</f>
        <v>222000</v>
      </c>
      <c r="H19" s="390">
        <f>'JO Regular'!$P$42</f>
        <v>0</v>
      </c>
      <c r="I19" s="269">
        <f>'JO Regular'!$Q$42</f>
        <v>222000</v>
      </c>
      <c r="J19" s="390">
        <f>'JO Regular'!$P$42</f>
        <v>0</v>
      </c>
      <c r="K19" s="269">
        <f>'JO Regular'!$Q$42</f>
        <v>222000</v>
      </c>
      <c r="L19" s="390">
        <f>'JO Regular'!$P$42</f>
        <v>0</v>
      </c>
      <c r="M19" s="391">
        <f>'JO Regular'!$Q$42</f>
        <v>222000</v>
      </c>
    </row>
    <row r="20" spans="2:13" ht="15" customHeight="1" x14ac:dyDescent="0.35">
      <c r="B20" s="277" t="s">
        <v>384</v>
      </c>
      <c r="C20" s="278">
        <f>'JO Regular'!H43</f>
        <v>0</v>
      </c>
      <c r="D20" s="279" t="e">
        <f>'JO Regular'!I43</f>
        <v>#N/A</v>
      </c>
      <c r="F20" s="215">
        <f>'JO Regular'!$P$43</f>
        <v>0</v>
      </c>
      <c r="G20" s="284">
        <f>'JO Regular'!$Q$43</f>
        <v>0</v>
      </c>
      <c r="H20" s="215">
        <f>'JO Regular'!$P$43</f>
        <v>0</v>
      </c>
      <c r="I20" s="284">
        <f>'JO Regular'!$Q$43</f>
        <v>0</v>
      </c>
      <c r="J20" s="215">
        <f>'JO Regular'!$P$43</f>
        <v>0</v>
      </c>
      <c r="K20" s="284">
        <f>'JO Regular'!$Q$43</f>
        <v>0</v>
      </c>
      <c r="L20" s="215">
        <f>'JO Regular'!$P$43</f>
        <v>0</v>
      </c>
      <c r="M20" s="396">
        <f>'JO Regular'!$Q$43</f>
        <v>0</v>
      </c>
    </row>
    <row r="21" spans="2:13" ht="14.5" x14ac:dyDescent="0.35">
      <c r="B21" s="274" t="s">
        <v>385</v>
      </c>
      <c r="C21" s="275" t="e">
        <f>SUM(C12:C15,C18:C20)</f>
        <v>#N/A</v>
      </c>
      <c r="D21" s="276" t="e">
        <f>SUM(D12:D15,D18:D20)</f>
        <v>#N/A</v>
      </c>
      <c r="F21" s="280">
        <f>SUM(F11:F15,F18:F20)</f>
        <v>69200</v>
      </c>
      <c r="G21" s="281">
        <f t="shared" ref="G21:M21" si="0">SUM(G12:G15,G18:G20)</f>
        <v>1321200</v>
      </c>
      <c r="H21" s="282">
        <f t="shared" si="0"/>
        <v>72000</v>
      </c>
      <c r="I21" s="281">
        <f t="shared" si="0"/>
        <v>1366000</v>
      </c>
      <c r="J21" s="282">
        <f t="shared" si="0"/>
        <v>75000</v>
      </c>
      <c r="K21" s="281">
        <f t="shared" si="0"/>
        <v>1414000</v>
      </c>
      <c r="L21" s="282">
        <f t="shared" si="0"/>
        <v>2000</v>
      </c>
      <c r="M21" s="283">
        <f t="shared" si="0"/>
        <v>246000</v>
      </c>
    </row>
    <row r="22" spans="2:13" ht="21.75" customHeight="1" x14ac:dyDescent="0.35">
      <c r="F22" s="68"/>
      <c r="G22" s="39"/>
      <c r="J22" s="68"/>
      <c r="K22" s="39"/>
    </row>
    <row r="23" spans="2:13" ht="21.75" customHeight="1" x14ac:dyDescent="0.35">
      <c r="F23" s="68"/>
      <c r="G23" s="39"/>
      <c r="J23" s="68"/>
      <c r="K23" s="39"/>
    </row>
    <row r="24" spans="2:13" ht="21.75" customHeight="1" x14ac:dyDescent="0.35">
      <c r="F24" s="68" t="s">
        <v>427</v>
      </c>
      <c r="G24" s="39"/>
      <c r="J24" s="68"/>
      <c r="K24" s="39"/>
    </row>
    <row r="25" spans="2:13" ht="21.75" customHeight="1" x14ac:dyDescent="0.35">
      <c r="F25" s="288" t="s">
        <v>422</v>
      </c>
      <c r="G25" s="289"/>
      <c r="H25" s="290" t="s">
        <v>423</v>
      </c>
      <c r="I25" s="289"/>
      <c r="J25" s="290" t="s">
        <v>424</v>
      </c>
      <c r="K25" s="289"/>
      <c r="L25" s="290" t="s">
        <v>425</v>
      </c>
      <c r="M25" s="291"/>
    </row>
    <row r="26" spans="2:13" ht="14.25" customHeight="1" x14ac:dyDescent="0.35">
      <c r="F26" s="248" t="s">
        <v>34</v>
      </c>
      <c r="G26" s="70" t="s">
        <v>4</v>
      </c>
      <c r="H26" s="70" t="s">
        <v>34</v>
      </c>
      <c r="I26" s="70" t="s">
        <v>4</v>
      </c>
      <c r="J26" s="70" t="s">
        <v>34</v>
      </c>
      <c r="K26" s="70" t="s">
        <v>4</v>
      </c>
      <c r="L26" s="70" t="s">
        <v>34</v>
      </c>
      <c r="M26" s="249" t="s">
        <v>4</v>
      </c>
    </row>
    <row r="27" spans="2:13" ht="14.25" customHeight="1" x14ac:dyDescent="0.35">
      <c r="F27" s="285" t="e">
        <f>(F21-C21)/C21</f>
        <v>#N/A</v>
      </c>
      <c r="G27" s="285" t="e">
        <f>(G21-D21)/D21</f>
        <v>#N/A</v>
      </c>
      <c r="H27" s="285" t="e">
        <f>(H21-C21)/C21</f>
        <v>#N/A</v>
      </c>
      <c r="I27" s="285" t="e">
        <f>(I21-D21)/D21</f>
        <v>#N/A</v>
      </c>
      <c r="J27" s="285" t="e">
        <f>(J21-C21)/C21</f>
        <v>#N/A</v>
      </c>
      <c r="K27" s="285" t="e">
        <f>(K21-D21)/D21</f>
        <v>#N/A</v>
      </c>
      <c r="L27" s="285" t="e">
        <f>(L21-C21)/C21</f>
        <v>#N/A</v>
      </c>
      <c r="M27" s="285" t="e">
        <f>(M21-D21)/D21</f>
        <v>#N/A</v>
      </c>
    </row>
    <row r="28" spans="2:13" ht="14.5" x14ac:dyDescent="0.35">
      <c r="F28" s="64"/>
      <c r="G28" s="72"/>
    </row>
    <row r="29" spans="2:13" ht="14.5" x14ac:dyDescent="0.35"/>
    <row r="30" spans="2:13" ht="14.5" x14ac:dyDescent="0.35"/>
    <row r="31" spans="2:13" ht="14.5" x14ac:dyDescent="0.35"/>
    <row r="32" spans="2:13"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sheetData>
  <mergeCells count="15">
    <mergeCell ref="B9:B10"/>
    <mergeCell ref="C9:D9"/>
    <mergeCell ref="M2:Q3"/>
    <mergeCell ref="B3:B4"/>
    <mergeCell ref="M4:Q4"/>
    <mergeCell ref="C2:D2"/>
    <mergeCell ref="F2:G2"/>
    <mergeCell ref="H2:H3"/>
    <mergeCell ref="I2:I3"/>
    <mergeCell ref="J2:K2"/>
    <mergeCell ref="L2:L3"/>
    <mergeCell ref="M5:Q5"/>
    <mergeCell ref="M6:Q6"/>
    <mergeCell ref="M7:Q7"/>
    <mergeCell ref="G4:G7"/>
  </mergeCells>
  <printOptions horizontalCentered="1" verticalCentered="1"/>
  <pageMargins left="0.25" right="0.25" top="0.25" bottom="0.25" header="0.05" footer="0.05"/>
  <pageSetup paperSize="5" scale="36" orientation="portrait" r:id="rId1"/>
  <headerFooter scaleWithDoc="0"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C9031-07BA-43AB-8BD4-F9AA28095666}">
  <sheetPr>
    <tabColor rgb="FF00B0F0"/>
    <pageSetUpPr fitToPage="1"/>
  </sheetPr>
  <dimension ref="A1:F58"/>
  <sheetViews>
    <sheetView view="pageBreakPreview" zoomScale="80" zoomScaleNormal="90" zoomScaleSheetLayoutView="80" workbookViewId="0">
      <selection activeCell="F48" sqref="F48"/>
    </sheetView>
  </sheetViews>
  <sheetFormatPr defaultColWidth="8.7265625" defaultRowHeight="12.5" x14ac:dyDescent="0.25"/>
  <cols>
    <col min="1" max="1" width="25.81640625" style="113" bestFit="1" customWidth="1"/>
    <col min="2" max="2" width="33.453125" style="113" bestFit="1" customWidth="1"/>
    <col min="3" max="3" width="30.7265625" style="113" customWidth="1"/>
    <col min="4" max="4" width="49.7265625" style="113" customWidth="1"/>
    <col min="5" max="16384" width="8.7265625" style="113"/>
  </cols>
  <sheetData>
    <row r="1" spans="1:4" ht="17.25" customHeight="1" thickBot="1" x14ac:dyDescent="0.3">
      <c r="A1" s="303"/>
      <c r="B1" s="304"/>
      <c r="C1" s="304"/>
      <c r="D1" s="305"/>
    </row>
    <row r="2" spans="1:4" ht="54.75" customHeight="1" x14ac:dyDescent="0.25">
      <c r="A2" s="306"/>
      <c r="B2" s="115"/>
      <c r="C2" s="116"/>
      <c r="D2" s="307"/>
    </row>
    <row r="3" spans="1:4" ht="18.75" customHeight="1" x14ac:dyDescent="0.25">
      <c r="A3" s="482"/>
      <c r="B3" s="483"/>
      <c r="C3" s="483"/>
      <c r="D3" s="484"/>
    </row>
    <row r="4" spans="1:4" ht="6.75" customHeight="1" x14ac:dyDescent="0.25">
      <c r="A4" s="306"/>
      <c r="D4" s="307"/>
    </row>
    <row r="5" spans="1:4" ht="13" x14ac:dyDescent="0.3">
      <c r="A5" s="308" t="s">
        <v>428</v>
      </c>
      <c r="B5" s="120" t="e">
        <f>'JO Regular'!E8</f>
        <v>#N/A</v>
      </c>
      <c r="C5" s="121"/>
      <c r="D5" s="307"/>
    </row>
    <row r="6" spans="1:4" ht="12.75" customHeight="1" x14ac:dyDescent="0.3">
      <c r="A6" s="308" t="s">
        <v>429</v>
      </c>
      <c r="B6" s="122" t="str">
        <f>'JO Regular'!E10</f>
        <v>TRADE EXECUTION SPECIALIST</v>
      </c>
      <c r="C6" s="123"/>
      <c r="D6" s="307"/>
    </row>
    <row r="7" spans="1:4" ht="12.75" customHeight="1" x14ac:dyDescent="0.3">
      <c r="A7" s="308" t="s">
        <v>430</v>
      </c>
      <c r="B7" s="122" t="str">
        <f>'JO Regular'!R8</f>
        <v>S2</v>
      </c>
      <c r="C7" s="123"/>
      <c r="D7" s="307"/>
    </row>
    <row r="8" spans="1:4" ht="12.75" customHeight="1" x14ac:dyDescent="0.3">
      <c r="A8" s="308" t="s">
        <v>431</v>
      </c>
      <c r="B8" s="122" t="str">
        <f>'JO Regular'!E12</f>
        <v xml:space="preserve">SALES AND CUSTOMER DEVELOMENT </v>
      </c>
      <c r="C8" s="124"/>
      <c r="D8" s="307"/>
    </row>
    <row r="9" spans="1:4" ht="13.5" thickBot="1" x14ac:dyDescent="0.35">
      <c r="A9" s="306" t="s">
        <v>432</v>
      </c>
      <c r="B9" s="124" t="str">
        <f>'JO Regular'!I4</f>
        <v>Unilab, Inc.</v>
      </c>
      <c r="C9" s="125"/>
      <c r="D9" s="307"/>
    </row>
    <row r="10" spans="1:4" ht="13.5" thickBot="1" x14ac:dyDescent="0.3">
      <c r="A10" s="309" t="s">
        <v>433</v>
      </c>
      <c r="B10" s="127"/>
      <c r="C10" s="127"/>
      <c r="D10" s="310"/>
    </row>
    <row r="11" spans="1:4" x14ac:dyDescent="0.25">
      <c r="A11" s="311"/>
      <c r="B11" s="130"/>
      <c r="C11" s="130"/>
      <c r="D11" s="312"/>
    </row>
    <row r="12" spans="1:4" ht="13" x14ac:dyDescent="0.25">
      <c r="A12" s="311"/>
      <c r="B12" s="131" t="s">
        <v>434</v>
      </c>
      <c r="C12" s="131" t="s">
        <v>435</v>
      </c>
      <c r="D12" s="313" t="s">
        <v>436</v>
      </c>
    </row>
    <row r="13" spans="1:4" ht="13" x14ac:dyDescent="0.25">
      <c r="A13" s="314" t="s">
        <v>437</v>
      </c>
      <c r="B13" s="133">
        <f>'JO Regular'!P35</f>
        <v>0</v>
      </c>
      <c r="C13" s="315" t="str">
        <f>IF(OR('JO Regular'!R8="AM",'JO Regular'!R8="S2-C",'JO Regular'!R8="S3-C",'JO Regular'!R8="S4-C",'JO Regular'!R8="S5-C"),"15th and end-of-month","10th and 25th of the month")</f>
        <v>10th and 25th of the month</v>
      </c>
      <c r="D13" s="312"/>
    </row>
    <row r="14" spans="1:4" ht="13" x14ac:dyDescent="0.25">
      <c r="A14" s="314"/>
      <c r="B14" s="133"/>
      <c r="C14" s="134"/>
      <c r="D14" s="312"/>
    </row>
    <row r="15" spans="1:4" ht="13" x14ac:dyDescent="0.25">
      <c r="A15" s="314" t="s">
        <v>438</v>
      </c>
      <c r="B15" s="130"/>
      <c r="C15" s="130"/>
      <c r="D15" s="312"/>
    </row>
    <row r="16" spans="1:4" ht="37.5" x14ac:dyDescent="0.25">
      <c r="A16" s="316" t="s">
        <v>439</v>
      </c>
      <c r="B16" s="130" t="s">
        <v>440</v>
      </c>
      <c r="C16" s="136">
        <v>41228</v>
      </c>
      <c r="D16" s="317" t="s">
        <v>441</v>
      </c>
    </row>
    <row r="17" spans="1:6" x14ac:dyDescent="0.25">
      <c r="A17" s="311"/>
      <c r="B17" s="130"/>
      <c r="C17" s="136"/>
      <c r="D17" s="317"/>
    </row>
    <row r="18" spans="1:6" ht="12.75" customHeight="1" x14ac:dyDescent="0.25">
      <c r="A18" s="316" t="s">
        <v>442</v>
      </c>
      <c r="B18" s="130" t="s">
        <v>443</v>
      </c>
      <c r="C18" s="136">
        <v>37605</v>
      </c>
      <c r="D18" s="485" t="str">
        <f>IF('JO Regular'!R8="AM",
"Entitlement to the bonuses will commence after the employee has completed one (1) month of tenure. Bonuses shall be granted in full and computed based on the monthly salary at the time of payout.",
"Entitlement to the bonuses will commence upon regularization. Bonuses shall be granted in full and computed based on the monthly salary at the time of payout.")</f>
        <v>Entitlement to the bonuses will commence upon regularization. Bonuses shall be granted in full and computed based on the monthly salary at the time of payout.</v>
      </c>
      <c r="F18" s="478"/>
    </row>
    <row r="19" spans="1:6" ht="12.65" customHeight="1" x14ac:dyDescent="0.25">
      <c r="A19" s="311"/>
      <c r="B19" s="130" t="s">
        <v>443</v>
      </c>
      <c r="C19" s="136">
        <v>37302</v>
      </c>
      <c r="D19" s="485"/>
      <c r="F19" s="478"/>
    </row>
    <row r="20" spans="1:6" ht="12.65" customHeight="1" x14ac:dyDescent="0.25">
      <c r="A20" s="311"/>
      <c r="B20" s="130" t="s">
        <v>443</v>
      </c>
      <c r="C20" s="136">
        <v>37422</v>
      </c>
      <c r="D20" s="485"/>
      <c r="F20" s="478"/>
    </row>
    <row r="21" spans="1:6" ht="12.65" customHeight="1" x14ac:dyDescent="0.25">
      <c r="A21" s="311"/>
      <c r="B21" s="130" t="s">
        <v>443</v>
      </c>
      <c r="C21" s="136">
        <v>37514</v>
      </c>
      <c r="D21" s="485"/>
      <c r="F21" s="478"/>
    </row>
    <row r="22" spans="1:6" x14ac:dyDescent="0.25">
      <c r="A22" s="311"/>
      <c r="B22" s="130"/>
      <c r="C22" s="130"/>
      <c r="D22" s="312"/>
    </row>
    <row r="23" spans="1:6" ht="62.5" x14ac:dyDescent="0.25">
      <c r="A23" s="314" t="s">
        <v>380</v>
      </c>
      <c r="B23" s="130" t="s">
        <v>444</v>
      </c>
      <c r="C23" s="136">
        <v>41029</v>
      </c>
      <c r="D23" s="317" t="s">
        <v>445</v>
      </c>
      <c r="E23" s="138"/>
      <c r="F23" s="138"/>
    </row>
    <row r="24" spans="1:6" x14ac:dyDescent="0.25">
      <c r="A24" s="311"/>
      <c r="B24" s="130"/>
      <c r="C24" s="130"/>
      <c r="D24" s="312"/>
    </row>
    <row r="25" spans="1:6" ht="106.5" customHeight="1" x14ac:dyDescent="0.25">
      <c r="A25" s="314" t="s">
        <v>446</v>
      </c>
      <c r="B25" s="137"/>
      <c r="C25" s="137" t="s">
        <v>447</v>
      </c>
      <c r="D25" s="317" t="s">
        <v>448</v>
      </c>
    </row>
    <row r="26" spans="1:6" ht="13" x14ac:dyDescent="0.25">
      <c r="A26" s="314"/>
      <c r="B26" s="130"/>
      <c r="C26" s="130"/>
      <c r="D26" s="312"/>
    </row>
    <row r="27" spans="1:6" ht="33" customHeight="1" x14ac:dyDescent="0.25">
      <c r="A27" s="318" t="s">
        <v>196</v>
      </c>
      <c r="B27" s="137" t="str">
        <f>IF('JO Regular'!R8="AM",
   "N/A",
   IF('JO Regular'!Q20="YES",
      "P90 per workday",
      IF('JO Regular'!Q20="PROBY",
         "P90 per workday, while on Probation",
         IF('JO Regular'!Q20="N/A","N/A",0)
      )
   )
)</f>
        <v>N/A</v>
      </c>
      <c r="C27" s="130"/>
      <c r="D27" s="317" t="str">
        <f>IF(B27="P90 per workday","-",IF(B27="P90 per workday, while on Probation","Provision of Transporation Allowance will stop upon regularization"," "))</f>
        <v xml:space="preserve"> </v>
      </c>
    </row>
    <row r="28" spans="1:6" ht="13" x14ac:dyDescent="0.25">
      <c r="A28" s="314"/>
      <c r="B28" s="130"/>
      <c r="C28" s="130"/>
      <c r="D28" s="312"/>
    </row>
    <row r="29" spans="1:6" ht="50.25" customHeight="1" x14ac:dyDescent="0.25">
      <c r="A29" s="318" t="s">
        <v>449</v>
      </c>
      <c r="B29" s="486" t="str">
        <f>IF('JO Regular'!Q18="YES","Company car based on job level/position (not necessarily brand new) with corresponsing gas allocation and other work tools such as computer and mobile phone. For ULCH, Provision of company car will commence upon regularization","N/A")</f>
        <v>Company car based on job level/position (not necessarily brand new) with corresponsing gas allocation and other work tools such as computer and mobile phone. For ULCH, Provision of company car will commence upon regularization</v>
      </c>
      <c r="C29" s="486"/>
      <c r="D29" s="317" t="str">
        <f>IF('JO Regular'!Q20="PROBY","Provision of company car will commence upon regularization"," ")</f>
        <v xml:space="preserve"> </v>
      </c>
    </row>
    <row r="30" spans="1:6" x14ac:dyDescent="0.25">
      <c r="A30" s="311"/>
      <c r="B30" s="130"/>
      <c r="C30" s="130"/>
      <c r="D30" s="312"/>
    </row>
    <row r="31" spans="1:6" ht="50.25" customHeight="1" x14ac:dyDescent="0.25">
      <c r="A31" s="318" t="s">
        <v>450</v>
      </c>
      <c r="B31" s="486" t="str">
        <f>IF('JO Regular'!Q19="YES","Based on incentives mechanics discussed by the Division","N/A")</f>
        <v>Based on incentives mechanics discussed by the Division</v>
      </c>
      <c r="C31" s="486"/>
      <c r="D31" s="317"/>
    </row>
    <row r="32" spans="1:6" x14ac:dyDescent="0.25">
      <c r="A32" s="311"/>
      <c r="B32" s="130"/>
      <c r="C32" s="130"/>
      <c r="D32" s="312"/>
    </row>
    <row r="33" spans="1:4" ht="40.5" customHeight="1" x14ac:dyDescent="0.25">
      <c r="A33" s="318" t="s">
        <v>451</v>
      </c>
      <c r="B33" s="137" t="str">
        <f>IF('JO Regular'!Q21="YES2",
"Max of 2 months depending on individual performance and set mechanics of the Division",
"N/A")</f>
        <v>N/A</v>
      </c>
      <c r="C33" s="319"/>
      <c r="D33" s="317" t="str">
        <f>IF('JO Regular'!Q21="YES2","Pro-rated if less than 1 year tenure; taxed. If hire date is on or after November 1, entitlement will be on the following year"," ")</f>
        <v xml:space="preserve"> </v>
      </c>
    </row>
    <row r="34" spans="1:4" x14ac:dyDescent="0.25">
      <c r="A34" s="306"/>
      <c r="B34" s="125"/>
      <c r="C34" s="139"/>
      <c r="D34" s="320"/>
    </row>
    <row r="35" spans="1:4" ht="24.75" customHeight="1" x14ac:dyDescent="0.25">
      <c r="A35" s="487" t="s">
        <v>452</v>
      </c>
      <c r="B35" s="488"/>
      <c r="C35" s="488"/>
      <c r="D35" s="489"/>
    </row>
    <row r="36" spans="1:4" ht="24.75" customHeight="1" x14ac:dyDescent="0.25">
      <c r="A36" s="490"/>
      <c r="B36" s="491"/>
      <c r="C36" s="491"/>
      <c r="D36" s="492"/>
    </row>
    <row r="37" spans="1:4" ht="6.75" customHeight="1" x14ac:dyDescent="0.25">
      <c r="A37" s="306"/>
      <c r="D37" s="307"/>
    </row>
    <row r="38" spans="1:4" ht="21.75" customHeight="1" x14ac:dyDescent="0.25">
      <c r="A38" s="493" t="s">
        <v>453</v>
      </c>
      <c r="B38" s="477"/>
      <c r="C38" s="477"/>
      <c r="D38" s="494"/>
    </row>
    <row r="39" spans="1:4" ht="6.75" customHeight="1" x14ac:dyDescent="0.25">
      <c r="A39" s="321"/>
      <c r="B39" s="143"/>
      <c r="C39" s="143"/>
      <c r="D39" s="307"/>
    </row>
    <row r="40" spans="1:4" ht="14" x14ac:dyDescent="0.25">
      <c r="A40" s="322"/>
      <c r="B40" s="146"/>
      <c r="C40" s="146"/>
      <c r="D40" s="323"/>
    </row>
    <row r="41" spans="1:4" ht="45.75" customHeight="1" thickBot="1" x14ac:dyDescent="0.3">
      <c r="A41" s="479" t="s">
        <v>454</v>
      </c>
      <c r="B41" s="480"/>
      <c r="C41" s="480"/>
      <c r="D41" s="481"/>
    </row>
    <row r="42" spans="1:4" ht="13.5" thickBot="1" x14ac:dyDescent="0.3">
      <c r="A42" s="324"/>
      <c r="B42" s="325"/>
      <c r="C42" s="325"/>
      <c r="D42" s="326"/>
    </row>
    <row r="44" spans="1:4" x14ac:dyDescent="0.25">
      <c r="D44" s="113" t="s">
        <v>455</v>
      </c>
    </row>
    <row r="47" spans="1:4" x14ac:dyDescent="0.25">
      <c r="D47" s="143" t="s">
        <v>104</v>
      </c>
    </row>
    <row r="48" spans="1:4" x14ac:dyDescent="0.25">
      <c r="D48" s="113" t="s">
        <v>456</v>
      </c>
    </row>
    <row r="52" spans="1:4" ht="21.75" customHeight="1" x14ac:dyDescent="0.25">
      <c r="A52" s="477" t="s">
        <v>457</v>
      </c>
      <c r="B52" s="477"/>
      <c r="C52" s="477"/>
      <c r="D52" s="477"/>
    </row>
    <row r="54" spans="1:4" x14ac:dyDescent="0.25">
      <c r="D54" s="113" t="s">
        <v>458</v>
      </c>
    </row>
    <row r="57" spans="1:4" x14ac:dyDescent="0.25">
      <c r="D57" s="302"/>
    </row>
    <row r="58" spans="1:4" x14ac:dyDescent="0.25">
      <c r="D58" s="113" t="s">
        <v>459</v>
      </c>
    </row>
  </sheetData>
  <mergeCells count="9">
    <mergeCell ref="A52:D52"/>
    <mergeCell ref="F18:F21"/>
    <mergeCell ref="A41:D41"/>
    <mergeCell ref="A3:D3"/>
    <mergeCell ref="D18:D21"/>
    <mergeCell ref="B29:C29"/>
    <mergeCell ref="B31:C31"/>
    <mergeCell ref="A35:D36"/>
    <mergeCell ref="A38:D38"/>
  </mergeCells>
  <conditionalFormatting sqref="A27:B27">
    <cfRule type="expression" dxfId="3" priority="3">
      <formula>$B$27="N/A"</formula>
    </cfRule>
  </conditionalFormatting>
  <conditionalFormatting sqref="A29:B29">
    <cfRule type="expression" dxfId="2" priority="6">
      <formula>$B$29="N/A"</formula>
    </cfRule>
  </conditionalFormatting>
  <conditionalFormatting sqref="A31:B31">
    <cfRule type="expression" dxfId="1" priority="4">
      <formula>$B$31="N/A"</formula>
    </cfRule>
  </conditionalFormatting>
  <conditionalFormatting sqref="A33:B33">
    <cfRule type="expression" dxfId="0" priority="1">
      <formula>$B$33="N/A"</formula>
    </cfRule>
  </conditionalFormatting>
  <printOptions horizontalCentered="1"/>
  <pageMargins left="0.7" right="0.7" top="0.75" bottom="0.75" header="0.3" footer="0.3"/>
  <pageSetup scale="5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677425F-4294-4AC0-87CE-1A612A971598}">
          <x14:formula1>
            <xm:f>'Drop Down List'!$B$46:$B$49</xm:f>
          </x14:formula1>
          <xm:sqref>D47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B0916-EE57-46B5-99BB-E55C2BB79639}">
  <sheetPr>
    <tabColor rgb="FFFFC000"/>
  </sheetPr>
  <dimension ref="A1:AC90"/>
  <sheetViews>
    <sheetView showGridLines="0" view="pageBreakPreview" zoomScale="85" zoomScaleNormal="100" zoomScaleSheetLayoutView="85" workbookViewId="0">
      <selection activeCell="E13" sqref="E13"/>
    </sheetView>
  </sheetViews>
  <sheetFormatPr defaultColWidth="9.1796875" defaultRowHeight="14.5" x14ac:dyDescent="0.35"/>
  <cols>
    <col min="1" max="1" width="4.7265625" style="2" customWidth="1"/>
    <col min="2" max="2" width="3.7265625" style="2" customWidth="1"/>
    <col min="3" max="3" width="4.7265625" style="2" customWidth="1"/>
    <col min="4" max="6" width="4.26953125" style="2" customWidth="1"/>
    <col min="7" max="7" width="4.81640625" style="2" customWidth="1"/>
    <col min="8" max="8" width="11.26953125" style="2" customWidth="1"/>
    <col min="9" max="9" width="6.26953125" style="2" customWidth="1"/>
    <col min="10" max="10" width="7.26953125" style="2" customWidth="1"/>
    <col min="11" max="12" width="4.7265625" style="2" customWidth="1"/>
    <col min="13" max="14" width="6.7265625" style="2" customWidth="1"/>
    <col min="15" max="15" width="2.54296875" style="2" customWidth="1"/>
    <col min="16" max="16" width="11.81640625" style="2" customWidth="1"/>
    <col min="17" max="17" width="5.453125" style="2" customWidth="1"/>
    <col min="18" max="18" width="5.54296875" style="2" customWidth="1"/>
    <col min="19" max="19" width="3.7265625" style="2" customWidth="1"/>
    <col min="20" max="20" width="5.54296875" style="2" customWidth="1"/>
    <col min="21" max="21" width="3.7265625" style="2" customWidth="1"/>
    <col min="22" max="22" width="5.54296875" style="2" customWidth="1"/>
    <col min="23" max="23" width="9.1796875" style="2" customWidth="1"/>
    <col min="24" max="24" width="14.54296875" style="2" customWidth="1"/>
    <col min="25" max="25" width="15.7265625" style="2" customWidth="1"/>
    <col min="26" max="26" width="8.7265625" style="2" customWidth="1"/>
    <col min="27" max="27" width="12.453125" style="2" customWidth="1"/>
    <col min="28" max="28" width="16" style="2" customWidth="1"/>
    <col min="29" max="29" width="20.7265625" style="2" customWidth="1"/>
    <col min="30" max="30" width="23.453125" style="2" customWidth="1"/>
    <col min="31" max="34" width="9.1796875" style="2" customWidth="1"/>
    <col min="35" max="16384" width="9.1796875" style="2"/>
  </cols>
  <sheetData>
    <row r="1" spans="1:29" ht="15.5" x14ac:dyDescent="0.35">
      <c r="A1" s="651" t="str">
        <f>I4</f>
        <v>Unilab, Inc.</v>
      </c>
      <c r="B1" s="652"/>
      <c r="C1" s="652"/>
      <c r="D1" s="652"/>
      <c r="E1" s="652"/>
      <c r="F1" s="652"/>
      <c r="G1" s="652"/>
      <c r="H1" s="652"/>
      <c r="I1" s="652"/>
      <c r="J1" s="652"/>
      <c r="K1" s="652"/>
      <c r="L1" s="652"/>
      <c r="M1" s="652"/>
      <c r="N1" s="652"/>
      <c r="O1" s="652"/>
      <c r="P1" s="652"/>
      <c r="Q1" s="652"/>
      <c r="R1" s="652"/>
      <c r="S1" s="652"/>
      <c r="T1" s="652"/>
      <c r="U1" s="652"/>
      <c r="V1" s="652"/>
      <c r="W1" s="653"/>
      <c r="X1" s="1"/>
      <c r="Y1" s="1"/>
      <c r="Z1" s="1"/>
    </row>
    <row r="2" spans="1:29" ht="15.5" x14ac:dyDescent="0.35">
      <c r="A2" s="654" t="s">
        <v>329</v>
      </c>
      <c r="B2" s="655"/>
      <c r="C2" s="655"/>
      <c r="D2" s="655"/>
      <c r="E2" s="655"/>
      <c r="F2" s="655"/>
      <c r="G2" s="655"/>
      <c r="H2" s="655"/>
      <c r="I2" s="655"/>
      <c r="J2" s="655"/>
      <c r="K2" s="655"/>
      <c r="L2" s="655"/>
      <c r="M2" s="655"/>
      <c r="N2" s="655"/>
      <c r="O2" s="655"/>
      <c r="P2" s="655"/>
      <c r="Q2" s="655"/>
      <c r="R2" s="655"/>
      <c r="S2" s="655"/>
      <c r="T2" s="655"/>
      <c r="U2" s="655"/>
      <c r="V2" s="655"/>
      <c r="W2" s="656"/>
      <c r="X2" s="1"/>
      <c r="Y2" s="1"/>
      <c r="Z2" s="1"/>
    </row>
    <row r="3" spans="1:29" s="6" customFormat="1" ht="3.75" customHeight="1" x14ac:dyDescent="0.35">
      <c r="A3" s="397"/>
      <c r="B3" s="4"/>
      <c r="C3" s="4"/>
      <c r="D3" s="4"/>
      <c r="E3" s="4"/>
      <c r="F3" s="4"/>
      <c r="G3" s="4"/>
      <c r="H3" s="4"/>
      <c r="I3" s="4"/>
      <c r="J3" s="4"/>
      <c r="K3" s="4"/>
      <c r="L3" s="4"/>
      <c r="M3" s="4"/>
      <c r="N3" s="4"/>
      <c r="O3" s="4"/>
      <c r="P3" s="4"/>
      <c r="Q3" s="4"/>
      <c r="R3" s="4"/>
      <c r="S3" s="4"/>
      <c r="T3" s="4"/>
      <c r="U3" s="4"/>
      <c r="V3" s="4"/>
      <c r="W3" s="398"/>
      <c r="X3" s="4"/>
      <c r="Y3" s="4"/>
      <c r="Z3" s="4"/>
    </row>
    <row r="4" spans="1:29" s="6" customFormat="1" ht="14.5" customHeight="1" x14ac:dyDescent="0.35">
      <c r="A4" s="399"/>
      <c r="B4" s="8"/>
      <c r="C4" s="8" t="s">
        <v>315</v>
      </c>
      <c r="D4" s="165">
        <v>21</v>
      </c>
      <c r="E4" s="301"/>
      <c r="F4" s="299"/>
      <c r="G4" s="299"/>
      <c r="H4" s="299" t="s">
        <v>331</v>
      </c>
      <c r="I4" s="587" t="s">
        <v>121</v>
      </c>
      <c r="J4" s="588"/>
      <c r="K4" s="588"/>
      <c r="L4" s="588"/>
      <c r="M4" s="589"/>
      <c r="N4" s="9"/>
      <c r="O4" s="8" t="s">
        <v>332</v>
      </c>
      <c r="P4" s="9"/>
      <c r="Q4" s="9"/>
      <c r="R4" s="166" t="e">
        <f>VLOOKUP(D4,Responses!A:AU,8,0)</f>
        <v>#N/A</v>
      </c>
      <c r="S4" s="167"/>
      <c r="T4" s="167"/>
      <c r="U4" s="167"/>
      <c r="V4" s="168"/>
      <c r="W4" s="400"/>
      <c r="X4" s="9"/>
      <c r="Y4" s="9"/>
      <c r="Z4" s="9"/>
    </row>
    <row r="5" spans="1:29" s="6" customFormat="1" ht="4.5" customHeight="1" x14ac:dyDescent="0.35">
      <c r="A5" s="397"/>
      <c r="B5" s="4"/>
      <c r="C5" s="4"/>
      <c r="D5" s="4"/>
      <c r="E5" s="4"/>
      <c r="F5" s="4"/>
      <c r="G5" s="4"/>
      <c r="H5" s="4"/>
      <c r="I5" s="4"/>
      <c r="J5" s="4"/>
      <c r="K5" s="4"/>
      <c r="L5" s="4"/>
      <c r="M5" s="4"/>
      <c r="N5" s="401"/>
      <c r="O5" s="4"/>
      <c r="P5" s="4"/>
      <c r="Q5" s="4"/>
      <c r="R5" s="4"/>
      <c r="S5" s="4"/>
      <c r="T5" s="4"/>
      <c r="U5" s="4"/>
      <c r="V5" s="4"/>
      <c r="W5" s="398"/>
      <c r="X5" s="4"/>
      <c r="Y5" s="4"/>
      <c r="Z5" s="4"/>
    </row>
    <row r="6" spans="1:29" x14ac:dyDescent="0.35">
      <c r="A6" s="402" t="s">
        <v>333</v>
      </c>
      <c r="B6" s="12"/>
      <c r="C6" s="12"/>
      <c r="D6" s="12"/>
      <c r="E6" s="12"/>
      <c r="F6" s="12"/>
      <c r="G6" s="12"/>
      <c r="H6" s="12"/>
      <c r="I6" s="12"/>
      <c r="J6" s="12"/>
      <c r="K6" s="12"/>
      <c r="L6" s="12"/>
      <c r="M6" s="12"/>
      <c r="N6" s="12"/>
      <c r="O6" s="12"/>
      <c r="P6" s="12"/>
      <c r="Q6" s="12"/>
      <c r="R6" s="12"/>
      <c r="S6" s="12"/>
      <c r="T6" s="12"/>
      <c r="U6" s="12"/>
      <c r="V6" s="12"/>
      <c r="W6" s="403"/>
      <c r="X6" s="14"/>
      <c r="Y6" s="14"/>
      <c r="Z6" s="14"/>
      <c r="AA6" s="15"/>
      <c r="AB6" s="15"/>
      <c r="AC6" s="15"/>
    </row>
    <row r="7" spans="1:29" s="6" customFormat="1" ht="8.15" customHeight="1" x14ac:dyDescent="0.35">
      <c r="A7" s="404"/>
      <c r="B7" s="9"/>
      <c r="C7" s="9"/>
      <c r="D7" s="9"/>
      <c r="E7" s="9"/>
      <c r="F7" s="9"/>
      <c r="G7" s="9"/>
      <c r="H7" s="9"/>
      <c r="I7" s="9"/>
      <c r="J7" s="9"/>
      <c r="K7" s="9"/>
      <c r="L7" s="9"/>
      <c r="M7" s="9"/>
      <c r="N7" s="9"/>
      <c r="O7" s="9"/>
      <c r="P7" s="9"/>
      <c r="Q7" s="9"/>
      <c r="R7" s="9"/>
      <c r="S7" s="9"/>
      <c r="T7" s="9"/>
      <c r="U7" s="9"/>
      <c r="V7" s="9"/>
      <c r="W7" s="400"/>
      <c r="X7" s="9"/>
      <c r="Y7" s="9"/>
      <c r="Z7" s="9"/>
      <c r="AA7" s="15"/>
      <c r="AB7" s="15"/>
      <c r="AC7" s="15"/>
    </row>
    <row r="8" spans="1:29" s="6" customFormat="1" ht="15" customHeight="1" x14ac:dyDescent="0.35">
      <c r="A8" s="333" t="s">
        <v>334</v>
      </c>
      <c r="B8" s="297"/>
      <c r="C8" s="297"/>
      <c r="D8" s="297"/>
      <c r="E8" s="642" t="e">
        <f>VLOOKUP(D4,Responses!A:AU,7,0)</f>
        <v>#N/A</v>
      </c>
      <c r="F8" s="643"/>
      <c r="G8" s="643"/>
      <c r="H8" s="643"/>
      <c r="I8" s="643"/>
      <c r="J8" s="643"/>
      <c r="K8" s="643"/>
      <c r="L8" s="643"/>
      <c r="M8" s="644"/>
      <c r="N8" s="8"/>
      <c r="O8" s="223" t="s">
        <v>335</v>
      </c>
      <c r="P8" s="224"/>
      <c r="Q8" s="8"/>
      <c r="R8" s="657" t="s">
        <v>108</v>
      </c>
      <c r="S8" s="658"/>
      <c r="T8" s="658"/>
      <c r="U8" s="658"/>
      <c r="V8" s="659"/>
      <c r="W8" s="400"/>
      <c r="X8" s="9"/>
      <c r="Y8" s="9"/>
      <c r="Z8" s="9"/>
      <c r="AB8" s="15"/>
      <c r="AC8" s="15"/>
    </row>
    <row r="9" spans="1:29" s="6" customFormat="1" ht="8.15" customHeight="1" x14ac:dyDescent="0.35">
      <c r="A9" s="333"/>
      <c r="B9" s="297"/>
      <c r="C9" s="297"/>
      <c r="D9" s="297"/>
      <c r="E9" s="405"/>
      <c r="F9" s="405"/>
      <c r="G9" s="405"/>
      <c r="H9" s="405"/>
      <c r="I9" s="405"/>
      <c r="J9" s="405"/>
      <c r="K9" s="405"/>
      <c r="L9" s="405"/>
      <c r="M9" s="405"/>
      <c r="N9" s="8"/>
      <c r="O9" s="225"/>
      <c r="P9" s="340"/>
      <c r="Q9" s="406"/>
      <c r="R9" s="405"/>
      <c r="S9" s="405"/>
      <c r="T9" s="405"/>
      <c r="U9" s="405"/>
      <c r="V9" s="405"/>
      <c r="W9" s="400"/>
      <c r="X9" s="9"/>
      <c r="Y9" s="9"/>
      <c r="Z9" s="9"/>
      <c r="AB9" s="15"/>
      <c r="AC9" s="15"/>
    </row>
    <row r="10" spans="1:29" s="6" customFormat="1" ht="14.5" customHeight="1" x14ac:dyDescent="0.35">
      <c r="A10" s="341" t="s">
        <v>336</v>
      </c>
      <c r="B10" s="342"/>
      <c r="C10" s="342"/>
      <c r="D10" s="297"/>
      <c r="E10" s="642" t="e">
        <f>VLOOKUP(D4,Responses!A:AU,9,0)</f>
        <v>#N/A</v>
      </c>
      <c r="F10" s="643"/>
      <c r="G10" s="643"/>
      <c r="H10" s="643"/>
      <c r="I10" s="643"/>
      <c r="J10" s="643"/>
      <c r="K10" s="643"/>
      <c r="L10" s="643"/>
      <c r="M10" s="644"/>
      <c r="N10" s="8"/>
      <c r="O10" s="223" t="s">
        <v>338</v>
      </c>
      <c r="P10" s="297"/>
      <c r="Q10" s="8"/>
      <c r="R10" s="657"/>
      <c r="S10" s="658"/>
      <c r="T10" s="658"/>
      <c r="U10" s="658"/>
      <c r="V10" s="659"/>
      <c r="W10" s="400"/>
      <c r="X10" s="9"/>
      <c r="Y10" s="9"/>
      <c r="Z10" s="9"/>
      <c r="AB10" s="15"/>
      <c r="AC10" s="15"/>
    </row>
    <row r="11" spans="1:29" s="6" customFormat="1" ht="8.15" customHeight="1" x14ac:dyDescent="0.35">
      <c r="A11" s="333"/>
      <c r="B11" s="297"/>
      <c r="C11" s="297"/>
      <c r="D11" s="297"/>
      <c r="E11" s="405"/>
      <c r="F11" s="405"/>
      <c r="G11" s="405"/>
      <c r="H11" s="405"/>
      <c r="I11" s="405"/>
      <c r="J11" s="405"/>
      <c r="K11" s="405"/>
      <c r="L11" s="405"/>
      <c r="M11" s="405"/>
      <c r="N11" s="8"/>
      <c r="O11" s="223"/>
      <c r="P11" s="226"/>
      <c r="Q11" s="189"/>
      <c r="R11" s="406"/>
      <c r="S11" s="406"/>
      <c r="T11" s="406"/>
      <c r="U11" s="8"/>
      <c r="V11" s="8"/>
      <c r="W11" s="400"/>
      <c r="X11" s="9"/>
      <c r="Y11" s="9"/>
      <c r="Z11" s="9"/>
      <c r="AB11" s="15"/>
      <c r="AC11" s="15"/>
    </row>
    <row r="12" spans="1:29" s="6" customFormat="1" ht="13.5" customHeight="1" x14ac:dyDescent="0.35">
      <c r="A12" s="596" t="s">
        <v>339</v>
      </c>
      <c r="B12" s="597"/>
      <c r="C12" s="597"/>
      <c r="D12" s="597"/>
      <c r="E12" s="660" t="s">
        <v>460</v>
      </c>
      <c r="F12" s="661"/>
      <c r="G12" s="661"/>
      <c r="H12" s="661"/>
      <c r="I12" s="661"/>
      <c r="J12" s="661"/>
      <c r="K12" s="661"/>
      <c r="L12" s="661"/>
      <c r="M12" s="662"/>
      <c r="N12" s="8"/>
      <c r="O12" s="227" t="s">
        <v>341</v>
      </c>
      <c r="P12" s="297"/>
      <c r="Q12" s="8"/>
      <c r="R12" s="657"/>
      <c r="S12" s="658"/>
      <c r="T12" s="658"/>
      <c r="U12" s="658"/>
      <c r="V12" s="659"/>
      <c r="W12" s="400"/>
      <c r="X12" s="9"/>
      <c r="Y12" s="9"/>
      <c r="Z12" s="9"/>
      <c r="AB12" s="15"/>
      <c r="AC12" s="15"/>
    </row>
    <row r="13" spans="1:29" s="6" customFormat="1" ht="8.15" customHeight="1" x14ac:dyDescent="0.35">
      <c r="A13" s="399"/>
      <c r="B13" s="8"/>
      <c r="C13" s="8"/>
      <c r="D13" s="8"/>
      <c r="E13" s="190"/>
      <c r="F13" s="405"/>
      <c r="G13" s="405"/>
      <c r="H13" s="405"/>
      <c r="I13" s="405"/>
      <c r="J13" s="405"/>
      <c r="K13" s="405"/>
      <c r="L13" s="405"/>
      <c r="M13" s="405"/>
      <c r="N13" s="8"/>
      <c r="O13" s="191"/>
      <c r="P13" s="191"/>
      <c r="Q13" s="189"/>
      <c r="R13" s="407"/>
      <c r="S13" s="407"/>
      <c r="T13" s="407"/>
      <c r="U13" s="407"/>
      <c r="V13" s="407"/>
      <c r="W13" s="400"/>
      <c r="X13" s="9"/>
      <c r="Y13" s="9"/>
      <c r="Z13" s="9"/>
      <c r="AB13" s="15"/>
      <c r="AC13" s="15"/>
    </row>
    <row r="14" spans="1:29" ht="8.15" customHeight="1" x14ac:dyDescent="0.35">
      <c r="A14" s="404"/>
      <c r="B14" s="9"/>
      <c r="C14" s="9"/>
      <c r="D14" s="9"/>
      <c r="E14" s="192"/>
      <c r="F14" s="9"/>
      <c r="G14" s="9"/>
      <c r="H14" s="9"/>
      <c r="I14" s="9"/>
      <c r="J14" s="9"/>
      <c r="K14" s="9"/>
      <c r="L14" s="9"/>
      <c r="M14" s="9"/>
      <c r="N14" s="9"/>
      <c r="O14" s="192"/>
      <c r="P14" s="192"/>
      <c r="Q14" s="192"/>
      <c r="R14" s="193"/>
      <c r="S14" s="194"/>
      <c r="T14" s="193"/>
      <c r="U14" s="194"/>
      <c r="V14" s="193"/>
      <c r="W14" s="400"/>
      <c r="X14" s="9"/>
      <c r="Y14" s="9"/>
      <c r="Z14" s="9"/>
      <c r="AA14" s="6"/>
      <c r="AB14" s="15"/>
      <c r="AC14" s="15"/>
    </row>
    <row r="15" spans="1:29" x14ac:dyDescent="0.35">
      <c r="A15" s="402" t="s">
        <v>343</v>
      </c>
      <c r="B15" s="12"/>
      <c r="C15" s="12"/>
      <c r="D15" s="12"/>
      <c r="E15" s="12"/>
      <c r="F15" s="12"/>
      <c r="G15" s="12"/>
      <c r="H15" s="12"/>
      <c r="I15" s="12"/>
      <c r="J15" s="12"/>
      <c r="K15" s="12"/>
      <c r="L15" s="12"/>
      <c r="M15" s="12"/>
      <c r="N15" s="12"/>
      <c r="O15" s="12"/>
      <c r="P15" s="12"/>
      <c r="Q15" s="12"/>
      <c r="R15" s="12"/>
      <c r="S15" s="12"/>
      <c r="T15" s="12"/>
      <c r="U15" s="12"/>
      <c r="V15" s="12"/>
      <c r="W15" s="403"/>
      <c r="X15" s="14"/>
      <c r="Y15" s="14"/>
      <c r="Z15" s="14"/>
      <c r="AA15" s="6"/>
      <c r="AB15" s="15"/>
      <c r="AC15" s="15"/>
    </row>
    <row r="16" spans="1:29" s="6" customFormat="1" ht="3.75" customHeight="1" x14ac:dyDescent="0.35">
      <c r="A16" s="404"/>
      <c r="B16" s="9"/>
      <c r="C16" s="9"/>
      <c r="D16" s="9"/>
      <c r="E16" s="9"/>
      <c r="F16" s="9"/>
      <c r="G16" s="9"/>
      <c r="H16" s="9"/>
      <c r="I16" s="9"/>
      <c r="J16" s="9"/>
      <c r="K16" s="9"/>
      <c r="L16" s="9"/>
      <c r="M16" s="9"/>
      <c r="N16" s="9"/>
      <c r="O16" s="9"/>
      <c r="P16" s="9"/>
      <c r="Q16" s="9"/>
      <c r="R16" s="9"/>
      <c r="S16" s="9"/>
      <c r="T16" s="9"/>
      <c r="U16" s="9"/>
      <c r="V16" s="9"/>
      <c r="W16" s="400"/>
      <c r="X16" s="9"/>
      <c r="Y16" s="9"/>
      <c r="Z16" s="9"/>
      <c r="AB16" s="15"/>
      <c r="AC16" s="15"/>
    </row>
    <row r="17" spans="1:29" s="6" customFormat="1" ht="15" customHeight="1" x14ac:dyDescent="0.35">
      <c r="A17" s="404"/>
      <c r="B17" s="635" t="s">
        <v>1</v>
      </c>
      <c r="C17" s="635"/>
      <c r="D17" s="635"/>
      <c r="E17" s="645" t="s">
        <v>12</v>
      </c>
      <c r="F17" s="646"/>
      <c r="G17" s="646"/>
      <c r="H17" s="647"/>
      <c r="I17" s="19" t="s">
        <v>344</v>
      </c>
      <c r="J17" s="9"/>
      <c r="N17" s="648" t="s">
        <v>3</v>
      </c>
      <c r="O17" s="649"/>
      <c r="P17" s="649"/>
      <c r="Q17" s="408" t="s">
        <v>38</v>
      </c>
      <c r="R17" s="20" t="s">
        <v>345</v>
      </c>
      <c r="S17" s="21"/>
      <c r="T17" s="22"/>
      <c r="V17" s="9"/>
      <c r="W17" s="400"/>
      <c r="X17" s="9"/>
      <c r="Y17" s="9"/>
      <c r="Z17" s="9"/>
      <c r="AB17" s="15"/>
      <c r="AC17" s="15"/>
    </row>
    <row r="18" spans="1:29" s="6" customFormat="1" ht="15" customHeight="1" x14ac:dyDescent="0.35">
      <c r="A18" s="404"/>
      <c r="B18" s="635" t="s">
        <v>21</v>
      </c>
      <c r="C18" s="635"/>
      <c r="D18" s="635"/>
      <c r="E18" s="636" t="s">
        <v>22</v>
      </c>
      <c r="F18" s="637"/>
      <c r="G18" s="637"/>
      <c r="H18" s="638"/>
      <c r="I18" s="19" t="s">
        <v>346</v>
      </c>
      <c r="J18" s="9"/>
      <c r="N18" s="648" t="s">
        <v>51</v>
      </c>
      <c r="O18" s="649"/>
      <c r="P18" s="650"/>
      <c r="Q18" s="409" t="s">
        <v>54</v>
      </c>
      <c r="R18" s="19" t="s">
        <v>347</v>
      </c>
      <c r="S18" s="9"/>
      <c r="T18" s="9"/>
      <c r="U18" s="9"/>
      <c r="V18" s="9"/>
      <c r="W18" s="400"/>
      <c r="X18" s="9"/>
      <c r="Y18" s="9"/>
      <c r="Z18" s="9"/>
      <c r="AB18" s="15"/>
      <c r="AC18" s="15"/>
    </row>
    <row r="19" spans="1:29" s="6" customFormat="1" ht="15" customHeight="1" x14ac:dyDescent="0.35">
      <c r="A19" s="404"/>
      <c r="B19" s="635" t="s">
        <v>48</v>
      </c>
      <c r="C19" s="635"/>
      <c r="D19" s="635"/>
      <c r="E19" s="636" t="s">
        <v>58</v>
      </c>
      <c r="F19" s="637"/>
      <c r="G19" s="637"/>
      <c r="H19" s="638"/>
      <c r="I19" s="19" t="s">
        <v>348</v>
      </c>
      <c r="J19" s="9"/>
      <c r="N19" s="639" t="s">
        <v>349</v>
      </c>
      <c r="O19" s="640"/>
      <c r="P19" s="641"/>
      <c r="Q19" s="410" t="s">
        <v>54</v>
      </c>
      <c r="R19" s="19" t="s">
        <v>350</v>
      </c>
      <c r="S19" s="9"/>
      <c r="T19" s="9"/>
      <c r="U19" s="9"/>
      <c r="V19" s="9"/>
      <c r="W19" s="400"/>
      <c r="X19" s="9"/>
      <c r="Y19" s="9"/>
      <c r="Z19" s="9"/>
      <c r="AB19" s="15"/>
      <c r="AC19" s="15"/>
    </row>
    <row r="20" spans="1:29" s="6" customFormat="1" ht="15" customHeight="1" x14ac:dyDescent="0.35">
      <c r="A20" s="404"/>
      <c r="B20" s="635" t="s">
        <v>66</v>
      </c>
      <c r="C20" s="635"/>
      <c r="D20" s="635"/>
      <c r="E20" s="636" t="s">
        <v>67</v>
      </c>
      <c r="F20" s="637"/>
      <c r="G20" s="637"/>
      <c r="H20" s="638"/>
      <c r="I20" s="19" t="s">
        <v>351</v>
      </c>
      <c r="J20" s="9"/>
      <c r="N20" s="639" t="s">
        <v>68</v>
      </c>
      <c r="O20" s="640"/>
      <c r="P20" s="641"/>
      <c r="Q20" s="410" t="s">
        <v>54</v>
      </c>
      <c r="R20" s="19" t="s">
        <v>356</v>
      </c>
      <c r="S20" s="9"/>
      <c r="T20" s="292"/>
      <c r="U20" s="9"/>
      <c r="V20" s="9"/>
      <c r="W20" s="400"/>
      <c r="X20" s="9"/>
      <c r="Y20" s="9"/>
      <c r="Z20" s="9"/>
      <c r="AB20" s="15"/>
      <c r="AC20" s="15"/>
    </row>
    <row r="21" spans="1:29" s="6" customFormat="1" ht="15" customHeight="1" x14ac:dyDescent="0.35">
      <c r="A21" s="411"/>
      <c r="B21" s="635" t="s">
        <v>73</v>
      </c>
      <c r="C21" s="635"/>
      <c r="D21" s="635"/>
      <c r="E21" s="636" t="s">
        <v>74</v>
      </c>
      <c r="F21" s="637"/>
      <c r="G21" s="637"/>
      <c r="H21" s="638"/>
      <c r="I21" s="19" t="s">
        <v>353</v>
      </c>
      <c r="J21" s="9"/>
      <c r="S21" s="9"/>
      <c r="T21" s="9"/>
      <c r="U21" s="9"/>
      <c r="V21" s="9"/>
      <c r="W21" s="400"/>
      <c r="X21" s="9"/>
      <c r="Y21" s="9"/>
      <c r="Z21" s="9"/>
      <c r="AB21" s="15"/>
      <c r="AC21" s="15"/>
    </row>
    <row r="22" spans="1:29" s="6" customFormat="1" ht="15" customHeight="1" x14ac:dyDescent="0.35">
      <c r="A22" s="411"/>
      <c r="B22" s="635" t="s">
        <v>78</v>
      </c>
      <c r="C22" s="635"/>
      <c r="D22" s="635"/>
      <c r="E22" s="645" t="s">
        <v>461</v>
      </c>
      <c r="F22" s="646"/>
      <c r="G22" s="646"/>
      <c r="H22" s="647"/>
      <c r="I22" s="19" t="s">
        <v>355</v>
      </c>
      <c r="J22" s="9"/>
      <c r="S22" s="9"/>
      <c r="T22" s="9"/>
      <c r="U22" s="9"/>
      <c r="V22" s="9"/>
      <c r="W22" s="400"/>
      <c r="X22" s="9"/>
      <c r="Y22" s="9"/>
      <c r="Z22" s="9"/>
      <c r="AB22" s="15"/>
      <c r="AC22" s="15"/>
    </row>
    <row r="23" spans="1:29" s="6" customFormat="1" ht="15" customHeight="1" x14ac:dyDescent="0.35">
      <c r="A23" s="411"/>
      <c r="B23" s="9"/>
      <c r="C23" s="9"/>
      <c r="D23" s="9"/>
      <c r="E23" s="9"/>
      <c r="F23" s="9"/>
      <c r="G23" s="9"/>
      <c r="H23" s="9"/>
      <c r="I23" s="19"/>
      <c r="J23" s="9"/>
      <c r="S23" s="9"/>
      <c r="T23" s="9"/>
      <c r="U23" s="9"/>
      <c r="V23" s="9"/>
      <c r="W23" s="400"/>
      <c r="X23" s="9"/>
      <c r="Y23" s="9"/>
      <c r="Z23" s="9"/>
      <c r="AB23" s="15"/>
      <c r="AC23" s="15"/>
    </row>
    <row r="24" spans="1:29" s="6" customFormat="1" ht="3.75" customHeight="1" x14ac:dyDescent="0.35">
      <c r="A24" s="404"/>
      <c r="B24" s="9"/>
      <c r="C24" s="9"/>
      <c r="D24" s="9"/>
      <c r="E24" s="9"/>
      <c r="F24" s="9"/>
      <c r="G24" s="9"/>
      <c r="H24" s="9"/>
      <c r="I24" s="9"/>
      <c r="J24" s="9"/>
      <c r="K24" s="9"/>
      <c r="L24" s="9"/>
      <c r="M24" s="9"/>
      <c r="N24" s="9"/>
      <c r="O24" s="24"/>
      <c r="P24" s="8"/>
      <c r="Q24" s="9"/>
      <c r="R24" s="9"/>
      <c r="S24" s="9"/>
      <c r="T24" s="25"/>
      <c r="U24" s="9"/>
      <c r="V24" s="9"/>
      <c r="W24" s="400"/>
      <c r="X24" s="9"/>
      <c r="Y24" s="9"/>
      <c r="Z24" s="9"/>
    </row>
    <row r="25" spans="1:29" x14ac:dyDescent="0.35">
      <c r="A25" s="402" t="s">
        <v>357</v>
      </c>
      <c r="B25" s="12"/>
      <c r="C25" s="12"/>
      <c r="D25" s="12"/>
      <c r="E25" s="12"/>
      <c r="F25" s="12"/>
      <c r="G25" s="12"/>
      <c r="H25" s="12"/>
      <c r="I25" s="12"/>
      <c r="J25" s="12"/>
      <c r="K25" s="12"/>
      <c r="L25" s="12"/>
      <c r="M25" s="12"/>
      <c r="N25" s="12"/>
      <c r="O25" s="12"/>
      <c r="P25" s="12"/>
      <c r="Q25" s="12"/>
      <c r="R25" s="12"/>
      <c r="S25" s="12"/>
      <c r="T25" s="12"/>
      <c r="U25" s="12"/>
      <c r="V25" s="12"/>
      <c r="W25" s="403"/>
      <c r="X25" s="14"/>
      <c r="Y25" s="14"/>
      <c r="Z25" s="14"/>
      <c r="AA25" s="6"/>
      <c r="AB25" s="15"/>
      <c r="AC25" s="15"/>
    </row>
    <row r="26" spans="1:29" s="6" customFormat="1" ht="6.65" customHeight="1" x14ac:dyDescent="0.35">
      <c r="A26" s="404"/>
      <c r="B26" s="9"/>
      <c r="C26" s="9"/>
      <c r="D26" s="9"/>
      <c r="E26" s="9"/>
      <c r="F26" s="9"/>
      <c r="G26" s="9"/>
      <c r="H26" s="9"/>
      <c r="I26" s="9"/>
      <c r="J26" s="9"/>
      <c r="K26" s="9"/>
      <c r="L26" s="9"/>
      <c r="M26" s="9"/>
      <c r="N26" s="9"/>
      <c r="O26" s="9"/>
      <c r="P26" s="9"/>
      <c r="Q26" s="9"/>
      <c r="R26" s="9"/>
      <c r="S26" s="9"/>
      <c r="T26" s="25"/>
      <c r="U26" s="9"/>
      <c r="V26" s="9"/>
      <c r="W26" s="400"/>
      <c r="X26" s="9"/>
      <c r="Y26" s="9"/>
      <c r="Z26" s="9"/>
    </row>
    <row r="27" spans="1:29" s="6" customFormat="1" x14ac:dyDescent="0.35">
      <c r="A27" s="404"/>
      <c r="B27" s="8" t="s">
        <v>135</v>
      </c>
      <c r="C27" s="9"/>
      <c r="D27" s="9"/>
      <c r="E27" s="26"/>
      <c r="F27" s="169" t="e">
        <f>VLOOKUP(D4,Responses!A:AU,13,0)</f>
        <v>#N/A</v>
      </c>
      <c r="G27" s="170"/>
      <c r="H27" s="170"/>
      <c r="I27" s="170"/>
      <c r="J27" s="171"/>
      <c r="K27" s="9"/>
      <c r="L27" s="9"/>
      <c r="M27" s="9"/>
      <c r="N27" s="25"/>
      <c r="O27" s="160" t="s">
        <v>358</v>
      </c>
      <c r="P27" s="169" t="e">
        <f>VLOOKUP(D4,Responses!A:AU,15,0)</f>
        <v>#N/A</v>
      </c>
      <c r="Q27" s="170"/>
      <c r="R27" s="170"/>
      <c r="S27" s="170"/>
      <c r="T27" s="170"/>
      <c r="U27" s="170"/>
      <c r="V27" s="171"/>
      <c r="W27" s="400"/>
      <c r="X27" s="9"/>
      <c r="Y27" s="9"/>
      <c r="Z27" s="9"/>
    </row>
    <row r="28" spans="1:29" s="6" customFormat="1" ht="3.75" customHeight="1" x14ac:dyDescent="0.35">
      <c r="A28" s="404"/>
      <c r="B28" s="9"/>
      <c r="C28" s="9"/>
      <c r="D28" s="9"/>
      <c r="E28" s="26"/>
      <c r="F28" s="9"/>
      <c r="G28" s="9"/>
      <c r="H28" s="9"/>
      <c r="I28" s="9"/>
      <c r="J28" s="25"/>
      <c r="K28" s="9"/>
      <c r="L28" s="9"/>
      <c r="M28" s="9"/>
      <c r="N28" s="25"/>
      <c r="O28" s="160"/>
      <c r="P28" s="9"/>
      <c r="Q28" s="9"/>
      <c r="R28" s="9"/>
      <c r="S28" s="9"/>
      <c r="T28" s="9"/>
      <c r="U28" s="9"/>
      <c r="V28" s="9"/>
      <c r="W28" s="400"/>
      <c r="X28" s="9"/>
      <c r="Y28" s="9"/>
      <c r="Z28" s="9"/>
    </row>
    <row r="29" spans="1:29" s="6" customFormat="1" x14ac:dyDescent="0.35">
      <c r="A29" s="404"/>
      <c r="B29" s="8" t="s">
        <v>359</v>
      </c>
      <c r="C29" s="9"/>
      <c r="D29" s="9"/>
      <c r="E29" s="26"/>
      <c r="F29" s="169" t="e">
        <f>VLOOKUP(D4,Responses!A:AU,14,0)</f>
        <v>#N/A</v>
      </c>
      <c r="G29" s="170"/>
      <c r="H29" s="170"/>
      <c r="I29" s="170"/>
      <c r="J29" s="171"/>
      <c r="K29" s="9"/>
      <c r="L29" s="9"/>
      <c r="M29" s="9"/>
      <c r="N29" s="25"/>
      <c r="O29" s="161" t="s">
        <v>139</v>
      </c>
      <c r="P29" s="169" t="e">
        <f>VLOOKUP(D4,Responses!A:AU,17,0)</f>
        <v>#N/A</v>
      </c>
      <c r="Q29" s="170"/>
      <c r="R29" s="170"/>
      <c r="S29" s="170"/>
      <c r="T29" s="170"/>
      <c r="U29" s="170"/>
      <c r="V29" s="171"/>
      <c r="W29" s="400"/>
      <c r="X29" s="8"/>
      <c r="Y29" s="8"/>
      <c r="Z29" s="8"/>
    </row>
    <row r="30" spans="1:29" s="6" customFormat="1" ht="3.75" customHeight="1" x14ac:dyDescent="0.35">
      <c r="A30" s="404"/>
      <c r="B30" s="9"/>
      <c r="C30" s="9"/>
      <c r="D30" s="9"/>
      <c r="E30" s="9"/>
      <c r="F30" s="9"/>
      <c r="G30" s="9"/>
      <c r="H30" s="9"/>
      <c r="I30" s="9"/>
      <c r="J30" s="9"/>
      <c r="K30" s="17"/>
      <c r="L30" s="9"/>
      <c r="M30" s="9"/>
      <c r="N30" s="9"/>
      <c r="O30" s="8"/>
      <c r="P30" s="8"/>
      <c r="Q30" s="8"/>
      <c r="R30" s="8"/>
      <c r="S30" s="8"/>
      <c r="T30" s="8"/>
      <c r="U30" s="8"/>
      <c r="V30" s="8"/>
      <c r="W30" s="412"/>
      <c r="X30" s="8"/>
      <c r="Y30" s="8"/>
      <c r="Z30" s="8"/>
    </row>
    <row r="31" spans="1:29" x14ac:dyDescent="0.35">
      <c r="A31" s="402" t="s">
        <v>360</v>
      </c>
      <c r="B31" s="12"/>
      <c r="C31" s="12"/>
      <c r="D31" s="12"/>
      <c r="E31" s="12"/>
      <c r="F31" s="12"/>
      <c r="G31" s="12"/>
      <c r="H31" s="12"/>
      <c r="I31" s="12"/>
      <c r="J31" s="12"/>
      <c r="K31" s="12"/>
      <c r="L31" s="12"/>
      <c r="M31" s="12"/>
      <c r="N31" s="12"/>
      <c r="O31" s="12"/>
      <c r="P31" s="12"/>
      <c r="Q31" s="12"/>
      <c r="R31" s="12"/>
      <c r="S31" s="12"/>
      <c r="T31" s="12"/>
      <c r="U31" s="12"/>
      <c r="V31" s="12"/>
      <c r="W31" s="403"/>
      <c r="X31" s="14"/>
      <c r="Y31" s="14"/>
      <c r="Z31" s="14"/>
    </row>
    <row r="32" spans="1:29" s="6" customFormat="1" ht="3.75" customHeight="1" x14ac:dyDescent="0.35">
      <c r="A32" s="404"/>
      <c r="B32" s="9"/>
      <c r="C32" s="9"/>
      <c r="D32" s="9"/>
      <c r="E32" s="9"/>
      <c r="F32" s="9"/>
      <c r="G32" s="9"/>
      <c r="H32" s="9"/>
      <c r="I32" s="9"/>
      <c r="J32" s="9"/>
      <c r="K32" s="9"/>
      <c r="L32" s="9"/>
      <c r="M32" s="9"/>
      <c r="N32" s="9"/>
      <c r="O32" s="24"/>
      <c r="P32" s="8"/>
      <c r="Q32" s="9"/>
      <c r="R32" s="9"/>
      <c r="S32" s="9"/>
      <c r="T32" s="25"/>
      <c r="U32" s="9"/>
      <c r="V32" s="9"/>
      <c r="W32" s="400"/>
      <c r="X32" s="9"/>
      <c r="Y32" s="9"/>
      <c r="Z32" s="9"/>
    </row>
    <row r="33" spans="1:29" x14ac:dyDescent="0.35">
      <c r="A33" s="669" t="s">
        <v>361</v>
      </c>
      <c r="B33" s="670"/>
      <c r="C33" s="670"/>
      <c r="D33" s="670"/>
      <c r="E33" s="670"/>
      <c r="F33" s="670"/>
      <c r="G33" s="670"/>
      <c r="H33" s="664" t="s">
        <v>362</v>
      </c>
      <c r="I33" s="664"/>
      <c r="J33" s="664"/>
      <c r="K33" s="664"/>
      <c r="L33" s="664"/>
      <c r="M33" s="664"/>
      <c r="N33" s="673"/>
      <c r="O33" s="9"/>
      <c r="P33" s="663" t="s">
        <v>363</v>
      </c>
      <c r="Q33" s="664"/>
      <c r="R33" s="664"/>
      <c r="S33" s="664"/>
      <c r="T33" s="664"/>
      <c r="U33" s="664"/>
      <c r="V33" s="664"/>
      <c r="W33" s="665"/>
      <c r="X33" s="27"/>
      <c r="Y33" s="27"/>
      <c r="Z33" s="27"/>
    </row>
    <row r="34" spans="1:29" x14ac:dyDescent="0.35">
      <c r="A34" s="671"/>
      <c r="B34" s="672"/>
      <c r="C34" s="672"/>
      <c r="D34" s="672"/>
      <c r="E34" s="672"/>
      <c r="F34" s="672"/>
      <c r="G34" s="672"/>
      <c r="H34" s="28" t="s">
        <v>364</v>
      </c>
      <c r="I34" s="666" t="s">
        <v>365</v>
      </c>
      <c r="J34" s="666"/>
      <c r="K34" s="666" t="s">
        <v>366</v>
      </c>
      <c r="L34" s="666"/>
      <c r="M34" s="666"/>
      <c r="N34" s="667"/>
      <c r="O34" s="9"/>
      <c r="P34" s="29" t="s">
        <v>364</v>
      </c>
      <c r="Q34" s="666" t="s">
        <v>365</v>
      </c>
      <c r="R34" s="666"/>
      <c r="S34" s="666"/>
      <c r="T34" s="666" t="s">
        <v>366</v>
      </c>
      <c r="U34" s="666"/>
      <c r="V34" s="666"/>
      <c r="W34" s="668"/>
      <c r="X34" s="30" t="s">
        <v>367</v>
      </c>
      <c r="Y34" s="30" t="s">
        <v>368</v>
      </c>
      <c r="Z34" s="30"/>
    </row>
    <row r="35" spans="1:29" x14ac:dyDescent="0.35">
      <c r="A35" s="413" t="s">
        <v>369</v>
      </c>
      <c r="B35" s="32"/>
      <c r="C35" s="32"/>
      <c r="D35" s="32"/>
      <c r="E35" s="32"/>
      <c r="F35" s="32"/>
      <c r="G35" s="32"/>
      <c r="H35" s="32"/>
      <c r="I35" s="32"/>
      <c r="J35" s="32"/>
      <c r="K35" s="32"/>
      <c r="L35" s="32"/>
      <c r="M35" s="32"/>
      <c r="N35" s="33"/>
      <c r="O35" s="9"/>
      <c r="P35" s="34"/>
      <c r="Q35" s="35"/>
      <c r="R35" s="35"/>
      <c r="S35" s="35"/>
      <c r="T35" s="35"/>
      <c r="U35" s="35"/>
      <c r="V35" s="35"/>
      <c r="W35" s="414"/>
      <c r="X35" s="37"/>
      <c r="Y35" s="37"/>
      <c r="Z35" s="37"/>
    </row>
    <row r="36" spans="1:29" s="6" customFormat="1" x14ac:dyDescent="0.35">
      <c r="A36" s="674" t="s">
        <v>370</v>
      </c>
      <c r="B36" s="675"/>
      <c r="C36" s="675"/>
      <c r="D36" s="675"/>
      <c r="E36" s="675"/>
      <c r="F36" s="675"/>
      <c r="G36" s="675"/>
      <c r="H36" s="195">
        <v>40000</v>
      </c>
      <c r="I36" s="676">
        <f>H36*12</f>
        <v>480000</v>
      </c>
      <c r="J36" s="676"/>
      <c r="K36" s="677"/>
      <c r="L36" s="677"/>
      <c r="M36" s="677"/>
      <c r="N36" s="678"/>
      <c r="O36" s="39"/>
      <c r="P36" s="172">
        <v>60000</v>
      </c>
      <c r="Q36" s="679">
        <f>P36*12</f>
        <v>720000</v>
      </c>
      <c r="R36" s="679"/>
      <c r="S36" s="679"/>
      <c r="T36" s="680"/>
      <c r="U36" s="680"/>
      <c r="V36" s="680"/>
      <c r="W36" s="681"/>
      <c r="X36" s="415">
        <f>$I$36*((13-$R$12)/12)</f>
        <v>519999.99999999994</v>
      </c>
      <c r="Y36" s="415">
        <f>$Q$36*((13-$R$12)/12)</f>
        <v>780000</v>
      </c>
      <c r="Z36" s="41"/>
    </row>
    <row r="37" spans="1:29" ht="15.75" customHeight="1" x14ac:dyDescent="0.35">
      <c r="A37" s="682" t="s">
        <v>371</v>
      </c>
      <c r="B37" s="683"/>
      <c r="C37" s="683"/>
      <c r="D37" s="683"/>
      <c r="E37" s="683"/>
      <c r="F37" s="683"/>
      <c r="G37" s="683"/>
      <c r="H37" s="196"/>
      <c r="I37" s="684" t="e">
        <f>IF(K37="12th Month Pay","",
IF(K37="13th Month Pay",H36*1,
IF(K37="14th Month Pay",H36*2,
IF(K37="15th Month Pay",H36*3,
IF(K37="16th Month Pay",H36*4,"")))))</f>
        <v>#N/A</v>
      </c>
      <c r="J37" s="684"/>
      <c r="K37" s="685" t="e">
        <f>VLOOKUP(D4,Responses!A:AU,19,0)</f>
        <v>#N/A</v>
      </c>
      <c r="L37" s="685"/>
      <c r="M37" s="685"/>
      <c r="N37" s="686"/>
      <c r="O37" s="39"/>
      <c r="P37" s="416"/>
      <c r="Q37" s="687"/>
      <c r="R37" s="687"/>
      <c r="S37" s="687"/>
      <c r="T37" s="688"/>
      <c r="U37" s="688"/>
      <c r="V37" s="688"/>
      <c r="W37" s="689"/>
      <c r="X37" s="415" t="e">
        <f>$I$37*((13-$R$12)/12)</f>
        <v>#N/A</v>
      </c>
      <c r="Y37" s="415">
        <f>$Q$37*((13-$R$12)/12)</f>
        <v>0</v>
      </c>
      <c r="Z37" s="41"/>
    </row>
    <row r="38" spans="1:29" s="6" customFormat="1" x14ac:dyDescent="0.35">
      <c r="A38" s="682" t="s">
        <v>373</v>
      </c>
      <c r="B38" s="683"/>
      <c r="C38" s="683"/>
      <c r="D38" s="683"/>
      <c r="E38" s="683"/>
      <c r="F38" s="683"/>
      <c r="G38" s="683"/>
      <c r="H38" s="196"/>
      <c r="I38" s="684" t="e">
        <f>VLOOKUP(D4,Responses!A:AU,21,0)</f>
        <v>#N/A</v>
      </c>
      <c r="J38" s="684"/>
      <c r="K38" s="690" t="e">
        <f>VLOOKUP(D4,Responses!A:AU,20,0)</f>
        <v>#N/A</v>
      </c>
      <c r="L38" s="690"/>
      <c r="M38" s="690"/>
      <c r="N38" s="691"/>
      <c r="O38" s="39"/>
      <c r="P38" s="416"/>
      <c r="Q38" s="687"/>
      <c r="R38" s="687"/>
      <c r="S38" s="687"/>
      <c r="T38" s="688"/>
      <c r="U38" s="688"/>
      <c r="V38" s="688"/>
      <c r="W38" s="689"/>
      <c r="X38" s="415" t="e">
        <f>$I$38*((13-$R$12)/12)</f>
        <v>#N/A</v>
      </c>
      <c r="Y38" s="415">
        <f>Q38/2</f>
        <v>0</v>
      </c>
      <c r="Z38" s="41"/>
      <c r="AA38" s="6" t="s">
        <v>375</v>
      </c>
    </row>
    <row r="39" spans="1:29" s="6" customFormat="1" ht="23.15" customHeight="1" x14ac:dyDescent="0.35">
      <c r="A39" s="692" t="s">
        <v>376</v>
      </c>
      <c r="B39" s="683"/>
      <c r="C39" s="683"/>
      <c r="D39" s="683"/>
      <c r="E39" s="683"/>
      <c r="F39" s="683"/>
      <c r="G39" s="683"/>
      <c r="H39" s="196" t="e">
        <f>VLOOKUP(D4,Responses!A:AU,23,0)</f>
        <v>#N/A</v>
      </c>
      <c r="I39" s="684" t="e">
        <f>VLOOKUP(D4,Responses!A:AU,25,0)</f>
        <v>#N/A</v>
      </c>
      <c r="J39" s="693"/>
      <c r="K39" s="539" t="e">
        <f>AC39</f>
        <v>#N/A</v>
      </c>
      <c r="L39" s="539"/>
      <c r="M39" s="539"/>
      <c r="N39" s="540"/>
      <c r="O39" s="39"/>
      <c r="P39" s="416"/>
      <c r="Q39" s="687"/>
      <c r="R39" s="687"/>
      <c r="S39" s="687"/>
      <c r="T39" s="688"/>
      <c r="U39" s="688"/>
      <c r="V39" s="688"/>
      <c r="W39" s="689"/>
      <c r="X39" s="415" t="e">
        <f>$I$39*((13-$R$12)/12)</f>
        <v>#N/A</v>
      </c>
      <c r="Y39" s="415">
        <f>$Q$39*((13-$R$12)/12)</f>
        <v>0</v>
      </c>
      <c r="Z39" s="41"/>
      <c r="AA39" s="6" t="e">
        <f>VLOOKUP(D4,Responses!A:AU,22,0)</f>
        <v>#N/A</v>
      </c>
      <c r="AB39" s="6" t="e">
        <f>VLOOKUP(D4,Responses!A:AU,24,0)</f>
        <v>#N/A</v>
      </c>
      <c r="AC39" s="6" t="e">
        <f>CONCATENATE(AA39,",",AB39)</f>
        <v>#N/A</v>
      </c>
    </row>
    <row r="40" spans="1:29" s="6" customFormat="1" ht="6" customHeight="1" x14ac:dyDescent="0.35">
      <c r="A40" s="404"/>
      <c r="B40" s="9"/>
      <c r="C40" s="9"/>
      <c r="D40" s="9"/>
      <c r="E40" s="9"/>
      <c r="F40" s="9"/>
      <c r="G40" s="9"/>
      <c r="H40" s="9"/>
      <c r="I40" s="9"/>
      <c r="J40" s="9"/>
      <c r="K40" s="9"/>
      <c r="L40" s="9"/>
      <c r="M40" s="9"/>
      <c r="N40" s="9"/>
      <c r="O40" s="24"/>
      <c r="P40" s="44"/>
      <c r="Q40" s="9"/>
      <c r="R40" s="9"/>
      <c r="S40" s="9"/>
      <c r="T40" s="25"/>
      <c r="U40" s="9"/>
      <c r="V40" s="9"/>
      <c r="W40" s="400"/>
      <c r="X40" s="417"/>
      <c r="Y40" s="417"/>
      <c r="Z40" s="9"/>
    </row>
    <row r="41" spans="1:29" x14ac:dyDescent="0.35">
      <c r="A41" s="197" t="s">
        <v>378</v>
      </c>
      <c r="B41" s="47"/>
      <c r="C41" s="47"/>
      <c r="D41" s="47"/>
      <c r="E41" s="47"/>
      <c r="F41" s="47"/>
      <c r="G41" s="47"/>
      <c r="H41" s="47"/>
      <c r="I41" s="47"/>
      <c r="J41" s="47"/>
      <c r="K41" s="47"/>
      <c r="L41" s="47"/>
      <c r="M41" s="47"/>
      <c r="N41" s="48"/>
      <c r="O41" s="39"/>
      <c r="P41" s="49"/>
      <c r="Q41" s="50"/>
      <c r="R41" s="50"/>
      <c r="S41" s="50"/>
      <c r="T41" s="50"/>
      <c r="U41" s="50"/>
      <c r="V41" s="50"/>
      <c r="W41" s="418"/>
      <c r="X41" s="419"/>
      <c r="Y41" s="419"/>
      <c r="Z41" s="37"/>
      <c r="AA41" s="6" t="s">
        <v>379</v>
      </c>
    </row>
    <row r="42" spans="1:29" x14ac:dyDescent="0.35">
      <c r="A42" s="694" t="s">
        <v>380</v>
      </c>
      <c r="B42" s="695"/>
      <c r="C42" s="695"/>
      <c r="D42" s="695"/>
      <c r="E42" s="695"/>
      <c r="F42" s="695"/>
      <c r="G42" s="695"/>
      <c r="H42" s="187"/>
      <c r="I42" s="696" t="e">
        <f>VLOOKUP(D4,Responses!A:AU,30,0)</f>
        <v>#N/A</v>
      </c>
      <c r="J42" s="696"/>
      <c r="K42" s="697" t="s">
        <v>380</v>
      </c>
      <c r="L42" s="697"/>
      <c r="M42" s="697"/>
      <c r="N42" s="698"/>
      <c r="O42" s="39"/>
      <c r="P42" s="420"/>
      <c r="Q42" s="699"/>
      <c r="R42" s="699"/>
      <c r="S42" s="699"/>
      <c r="T42" s="688"/>
      <c r="U42" s="688"/>
      <c r="V42" s="688"/>
      <c r="W42" s="689"/>
      <c r="X42" s="415"/>
      <c r="Y42" s="415"/>
      <c r="Z42" s="41"/>
      <c r="AA42" s="2" t="e">
        <f>VLOOKUP(D4,Responses!A:AU,26,0)</f>
        <v>#N/A</v>
      </c>
      <c r="AB42" s="2" t="e">
        <f>VLOOKUP(D4,Responses!A:AU,28,0)</f>
        <v>#N/A</v>
      </c>
      <c r="AC42" s="2" t="e">
        <f>CONCATENATE(AA42,",",AB42)</f>
        <v>#N/A</v>
      </c>
    </row>
    <row r="43" spans="1:29" x14ac:dyDescent="0.35">
      <c r="A43" s="694" t="s">
        <v>382</v>
      </c>
      <c r="B43" s="695"/>
      <c r="C43" s="695"/>
      <c r="D43" s="695"/>
      <c r="E43" s="695"/>
      <c r="F43" s="695"/>
      <c r="G43" s="695"/>
      <c r="H43" s="187"/>
      <c r="I43" s="696" t="e">
        <f>VLOOKUP(D4,Responses!A:AU,32,0)</f>
        <v>#N/A</v>
      </c>
      <c r="J43" s="696"/>
      <c r="K43" s="697" t="e">
        <f>VLOOKUP(D4,Responses!A:AU,31,0)</f>
        <v>#N/A</v>
      </c>
      <c r="L43" s="697"/>
      <c r="M43" s="697"/>
      <c r="N43" s="698"/>
      <c r="O43" s="39"/>
      <c r="P43" s="420"/>
      <c r="Q43" s="699"/>
      <c r="R43" s="699"/>
      <c r="S43" s="699"/>
      <c r="T43" s="700"/>
      <c r="U43" s="700"/>
      <c r="V43" s="700"/>
      <c r="W43" s="701"/>
      <c r="X43" s="415" t="e">
        <f>$I$43*((13-$R$12)/12)</f>
        <v>#N/A</v>
      </c>
      <c r="Y43" s="415">
        <f>$Q$43*((13-$R$12)/12)</f>
        <v>0</v>
      </c>
      <c r="Z43" s="41"/>
    </row>
    <row r="44" spans="1:29" ht="15" customHeight="1" x14ac:dyDescent="0.35">
      <c r="A44" s="702" t="s">
        <v>384</v>
      </c>
      <c r="B44" s="703"/>
      <c r="C44" s="703"/>
      <c r="D44" s="703"/>
      <c r="E44" s="703"/>
      <c r="F44" s="703"/>
      <c r="G44" s="703"/>
      <c r="H44" s="55"/>
      <c r="I44" s="704" t="e">
        <f>VLOOKUP(D4,Responses!A:AU,34,0)</f>
        <v>#N/A</v>
      </c>
      <c r="J44" s="704"/>
      <c r="K44" s="705" t="e">
        <f>VLOOKUP(D4,Responses!A:AU,33,0)</f>
        <v>#N/A</v>
      </c>
      <c r="L44" s="705"/>
      <c r="M44" s="705"/>
      <c r="N44" s="706"/>
      <c r="O44" s="39"/>
      <c r="P44" s="56"/>
      <c r="Q44" s="707"/>
      <c r="R44" s="707"/>
      <c r="S44" s="707"/>
      <c r="T44" s="708"/>
      <c r="U44" s="709"/>
      <c r="V44" s="709"/>
      <c r="W44" s="710"/>
      <c r="X44" s="415" t="e">
        <f>$I$44*((13-$R$12)/12)</f>
        <v>#N/A</v>
      </c>
      <c r="Y44" s="415">
        <f>$Q$44*((13-$R$12)/12)</f>
        <v>0</v>
      </c>
      <c r="Z44" s="57"/>
    </row>
    <row r="45" spans="1:29" x14ac:dyDescent="0.35">
      <c r="A45" s="197" t="s">
        <v>385</v>
      </c>
      <c r="B45" s="47"/>
      <c r="C45" s="47"/>
      <c r="D45" s="47"/>
      <c r="E45" s="47"/>
      <c r="F45" s="47"/>
      <c r="G45" s="47"/>
      <c r="H45" s="58" t="e">
        <f>SUM(H36:H39,H42:H44)</f>
        <v>#N/A</v>
      </c>
      <c r="I45" s="711" t="e">
        <f>SUM(I36:J39,I42:J44)</f>
        <v>#N/A</v>
      </c>
      <c r="J45" s="712"/>
      <c r="K45" s="713"/>
      <c r="L45" s="714"/>
      <c r="M45" s="714"/>
      <c r="N45" s="715"/>
      <c r="O45" s="39"/>
      <c r="P45" s="59">
        <f>SUM(P36:P39,P42:P44)</f>
        <v>60000</v>
      </c>
      <c r="Q45" s="716">
        <f>SUM(Q36:S39,Q42:S44)</f>
        <v>720000</v>
      </c>
      <c r="R45" s="717"/>
      <c r="S45" s="718"/>
      <c r="T45" s="713"/>
      <c r="U45" s="714"/>
      <c r="V45" s="714"/>
      <c r="W45" s="719"/>
      <c r="X45" s="421" t="e">
        <f>SUM(X36:X39,X42:X44)</f>
        <v>#N/A</v>
      </c>
      <c r="Y45" s="421">
        <f>SUM(Y36:Y39,Y42:Y44)</f>
        <v>780000</v>
      </c>
      <c r="Z45" s="41"/>
      <c r="AA45" s="41"/>
    </row>
    <row r="46" spans="1:29" s="6" customFormat="1" ht="6" customHeight="1" x14ac:dyDescent="0.35">
      <c r="A46" s="404"/>
      <c r="B46" s="9"/>
      <c r="C46" s="9"/>
      <c r="D46" s="9"/>
      <c r="E46" s="9"/>
      <c r="F46" s="9"/>
      <c r="G46" s="9"/>
      <c r="H46" s="9"/>
      <c r="I46" s="9"/>
      <c r="J46" s="9"/>
      <c r="K46" s="9"/>
      <c r="L46" s="9"/>
      <c r="M46" s="9"/>
      <c r="N46" s="9"/>
      <c r="O46" s="24"/>
      <c r="P46" s="9"/>
      <c r="Q46" s="9"/>
      <c r="R46" s="9"/>
      <c r="S46" s="9"/>
      <c r="T46" s="25"/>
      <c r="U46" s="9"/>
      <c r="V46" s="9"/>
      <c r="W46" s="400"/>
      <c r="X46" s="417"/>
      <c r="Y46" s="417"/>
      <c r="Z46" s="9"/>
    </row>
    <row r="47" spans="1:29" ht="20.25" customHeight="1" x14ac:dyDescent="0.35">
      <c r="A47" s="174"/>
      <c r="O47" s="39"/>
      <c r="P47" s="372" t="s">
        <v>386</v>
      </c>
      <c r="Q47" s="39"/>
      <c r="R47" s="39"/>
      <c r="S47" s="39"/>
      <c r="T47" s="39"/>
      <c r="W47" s="175"/>
    </row>
    <row r="48" spans="1:29" ht="18" customHeight="1" x14ac:dyDescent="0.35">
      <c r="A48" s="174"/>
      <c r="O48" s="39"/>
      <c r="P48" s="732" t="s">
        <v>34</v>
      </c>
      <c r="Q48" s="732"/>
      <c r="R48" s="725" t="s">
        <v>4</v>
      </c>
      <c r="S48" s="726"/>
      <c r="T48" s="727"/>
      <c r="W48" s="175"/>
    </row>
    <row r="49" spans="1:26" ht="15.75" customHeight="1" x14ac:dyDescent="0.35">
      <c r="A49" s="174"/>
      <c r="O49" s="39"/>
      <c r="P49" s="733" t="e">
        <f>(P45-H45)/H45</f>
        <v>#N/A</v>
      </c>
      <c r="Q49" s="733"/>
      <c r="R49" s="728" t="e">
        <f>(Q45-I45)/I45</f>
        <v>#N/A</v>
      </c>
      <c r="S49" s="729"/>
      <c r="T49" s="730"/>
      <c r="W49" s="175"/>
    </row>
    <row r="50" spans="1:26" ht="8.15" customHeight="1" x14ac:dyDescent="0.35">
      <c r="A50" s="174"/>
      <c r="P50" s="64"/>
      <c r="Q50" s="68"/>
      <c r="R50" s="68"/>
      <c r="S50" s="68"/>
      <c r="T50" s="422"/>
      <c r="U50" s="422"/>
      <c r="V50" s="422"/>
      <c r="W50" s="423"/>
      <c r="X50" s="422"/>
      <c r="Y50" s="422"/>
      <c r="Z50" s="422"/>
    </row>
    <row r="51" spans="1:26" ht="3.75" customHeight="1" x14ac:dyDescent="0.35">
      <c r="A51" s="424"/>
      <c r="B51" s="39"/>
      <c r="C51" s="39"/>
      <c r="D51" s="39"/>
      <c r="E51" s="39"/>
      <c r="F51" s="39"/>
      <c r="G51" s="39"/>
      <c r="H51" s="39"/>
      <c r="I51" s="39"/>
      <c r="J51" s="39"/>
      <c r="K51" s="39"/>
      <c r="L51" s="39"/>
      <c r="M51" s="39"/>
      <c r="N51" s="39"/>
      <c r="O51" s="39"/>
      <c r="P51" s="64"/>
      <c r="Q51" s="72"/>
      <c r="R51" s="72"/>
      <c r="S51" s="72"/>
      <c r="T51" s="425"/>
      <c r="U51" s="425"/>
      <c r="V51" s="425"/>
      <c r="W51" s="426"/>
      <c r="X51" s="425"/>
      <c r="Y51" s="425"/>
      <c r="Z51" s="425"/>
    </row>
    <row r="52" spans="1:26" x14ac:dyDescent="0.35">
      <c r="A52" s="427" t="s">
        <v>387</v>
      </c>
      <c r="B52" s="428"/>
      <c r="C52" s="428"/>
      <c r="D52" s="428"/>
      <c r="E52" s="428"/>
      <c r="F52" s="428"/>
      <c r="G52" s="428"/>
      <c r="H52" s="428"/>
      <c r="I52" s="428"/>
      <c r="J52" s="428"/>
      <c r="K52" s="428"/>
      <c r="L52" s="428"/>
      <c r="M52" s="428"/>
      <c r="N52" s="428"/>
      <c r="O52" s="37"/>
      <c r="P52" s="429"/>
      <c r="Q52" s="429"/>
      <c r="R52" s="429"/>
      <c r="S52" s="429"/>
      <c r="T52" s="430"/>
      <c r="U52" s="430"/>
      <c r="V52" s="430"/>
      <c r="W52" s="431"/>
      <c r="X52" s="430"/>
      <c r="Y52" s="430"/>
      <c r="Z52" s="430"/>
    </row>
    <row r="53" spans="1:26" ht="3.75" hidden="1" customHeight="1" x14ac:dyDescent="0.35">
      <c r="A53" s="424"/>
      <c r="B53" s="39"/>
      <c r="C53" s="39"/>
      <c r="D53" s="39"/>
      <c r="E53" s="39"/>
      <c r="F53" s="39"/>
      <c r="G53" s="39"/>
      <c r="H53" s="39"/>
      <c r="I53" s="39"/>
      <c r="J53" s="39"/>
      <c r="K53" s="39"/>
      <c r="L53" s="39"/>
      <c r="M53" s="39"/>
      <c r="N53" s="39"/>
      <c r="O53" s="39"/>
      <c r="P53" s="39"/>
      <c r="Q53" s="39"/>
      <c r="R53" s="39"/>
      <c r="S53" s="39"/>
      <c r="T53" s="39"/>
      <c r="U53" s="39"/>
      <c r="V53" s="39"/>
      <c r="W53" s="432"/>
      <c r="X53" s="39"/>
      <c r="Y53" s="39"/>
      <c r="Z53" s="39"/>
    </row>
    <row r="54" spans="1:26" hidden="1" x14ac:dyDescent="0.35">
      <c r="A54" s="402" t="s">
        <v>388</v>
      </c>
      <c r="B54" s="12"/>
      <c r="C54" s="12"/>
      <c r="D54" s="12"/>
      <c r="E54" s="12"/>
      <c r="F54" s="12"/>
      <c r="G54" s="12"/>
      <c r="H54" s="12"/>
      <c r="I54" s="12"/>
      <c r="J54" s="12"/>
      <c r="K54" s="12"/>
      <c r="L54" s="12"/>
      <c r="M54" s="12"/>
      <c r="N54" s="12"/>
      <c r="O54" s="12"/>
      <c r="P54" s="12"/>
      <c r="Q54" s="12"/>
      <c r="R54" s="12"/>
      <c r="S54" s="12"/>
      <c r="T54" s="12"/>
      <c r="U54" s="12"/>
      <c r="V54" s="12"/>
      <c r="W54" s="403"/>
      <c r="X54" s="14"/>
      <c r="Y54" s="14"/>
      <c r="Z54" s="14"/>
    </row>
    <row r="55" spans="1:26" ht="3" hidden="1" customHeight="1" x14ac:dyDescent="0.35">
      <c r="A55" s="424"/>
      <c r="B55" s="39"/>
      <c r="C55" s="39"/>
      <c r="D55" s="39"/>
      <c r="E55" s="39"/>
      <c r="F55" s="39"/>
      <c r="G55" s="39"/>
      <c r="H55" s="39"/>
      <c r="I55" s="39"/>
      <c r="J55" s="39"/>
      <c r="K55" s="39"/>
      <c r="L55" s="39"/>
      <c r="M55" s="39"/>
      <c r="N55" s="39"/>
      <c r="O55" s="39"/>
      <c r="P55" s="39"/>
      <c r="Q55" s="39"/>
      <c r="R55" s="39"/>
      <c r="S55" s="39"/>
      <c r="T55" s="39"/>
      <c r="U55" s="39"/>
      <c r="V55" s="39"/>
      <c r="W55" s="432"/>
      <c r="X55" s="39"/>
      <c r="Y55" s="39"/>
      <c r="Z55" s="39"/>
    </row>
    <row r="56" spans="1:26" ht="30" hidden="1" customHeight="1" x14ac:dyDescent="0.35">
      <c r="A56" s="720" t="s">
        <v>389</v>
      </c>
      <c r="B56" s="721"/>
      <c r="C56" s="721"/>
      <c r="D56" s="721"/>
      <c r="E56" s="721"/>
      <c r="F56" s="721"/>
      <c r="G56" s="721"/>
      <c r="H56" s="722" t="s">
        <v>117</v>
      </c>
      <c r="I56" s="723"/>
      <c r="J56" s="723"/>
      <c r="K56" s="723"/>
      <c r="L56" s="723"/>
      <c r="M56" s="723"/>
      <c r="N56" s="723"/>
      <c r="O56" s="723"/>
      <c r="P56" s="723"/>
      <c r="Q56" s="723"/>
      <c r="R56" s="723"/>
      <c r="S56" s="723"/>
      <c r="T56" s="723"/>
      <c r="U56" s="723"/>
      <c r="V56" s="723"/>
      <c r="W56" s="724"/>
      <c r="X56" s="75"/>
      <c r="Y56" s="75"/>
      <c r="Z56" s="75"/>
    </row>
    <row r="57" spans="1:26" ht="30" hidden="1" customHeight="1" x14ac:dyDescent="0.35">
      <c r="A57" s="720" t="s">
        <v>391</v>
      </c>
      <c r="B57" s="721"/>
      <c r="C57" s="721"/>
      <c r="D57" s="721"/>
      <c r="E57" s="721"/>
      <c r="F57" s="721"/>
      <c r="G57" s="721"/>
      <c r="H57" s="722" t="s">
        <v>118</v>
      </c>
      <c r="I57" s="723"/>
      <c r="J57" s="723"/>
      <c r="K57" s="723"/>
      <c r="L57" s="723"/>
      <c r="M57" s="723"/>
      <c r="N57" s="723"/>
      <c r="O57" s="723"/>
      <c r="P57" s="723"/>
      <c r="Q57" s="723"/>
      <c r="R57" s="723"/>
      <c r="S57" s="723"/>
      <c r="T57" s="723"/>
      <c r="U57" s="723"/>
      <c r="V57" s="723"/>
      <c r="W57" s="724"/>
      <c r="X57" s="75"/>
      <c r="Y57" s="75"/>
      <c r="Z57" s="75"/>
    </row>
    <row r="58" spans="1:26" ht="3" customHeight="1" x14ac:dyDescent="0.35">
      <c r="A58" s="424"/>
      <c r="B58" s="39"/>
      <c r="C58" s="39"/>
      <c r="D58" s="39"/>
      <c r="E58" s="39"/>
      <c r="F58" s="39"/>
      <c r="G58" s="39"/>
      <c r="H58" s="39"/>
      <c r="I58" s="39"/>
      <c r="J58" s="39"/>
      <c r="K58" s="39"/>
      <c r="L58" s="39"/>
      <c r="M58" s="39"/>
      <c r="N58" s="39"/>
      <c r="O58" s="39"/>
      <c r="P58" s="39"/>
      <c r="Q58" s="39"/>
      <c r="R58" s="39"/>
      <c r="S58" s="39"/>
      <c r="T58" s="39"/>
      <c r="U58" s="39"/>
      <c r="V58" s="39"/>
      <c r="W58" s="432"/>
      <c r="X58" s="39"/>
      <c r="Y58" s="39"/>
      <c r="Z58" s="39"/>
    </row>
    <row r="59" spans="1:26" x14ac:dyDescent="0.35">
      <c r="A59" s="402" t="s">
        <v>393</v>
      </c>
      <c r="B59" s="12"/>
      <c r="C59" s="12"/>
      <c r="D59" s="12"/>
      <c r="E59" s="12"/>
      <c r="F59" s="12" t="s">
        <v>394</v>
      </c>
      <c r="G59" s="12"/>
      <c r="H59" s="12"/>
      <c r="I59" s="12"/>
      <c r="J59" s="12"/>
      <c r="K59" s="12"/>
      <c r="L59" s="12"/>
      <c r="M59" s="12"/>
      <c r="N59" s="12"/>
      <c r="O59" s="12"/>
      <c r="P59" s="12"/>
      <c r="Q59" s="12"/>
      <c r="R59" s="12"/>
      <c r="S59" s="12"/>
      <c r="T59" s="12"/>
      <c r="U59" s="12"/>
      <c r="V59" s="12"/>
      <c r="W59" s="403"/>
      <c r="X59" s="14"/>
      <c r="Y59" s="14"/>
      <c r="Z59" s="14"/>
    </row>
    <row r="60" spans="1:26" x14ac:dyDescent="0.35">
      <c r="A60" s="433"/>
      <c r="B60" s="77"/>
      <c r="C60" s="77"/>
      <c r="D60" s="9"/>
      <c r="E60" s="9"/>
      <c r="F60" s="77" t="s">
        <v>395</v>
      </c>
      <c r="G60" s="77"/>
      <c r="H60" s="77"/>
      <c r="I60" s="77"/>
      <c r="J60" s="77" t="s">
        <v>396</v>
      </c>
      <c r="K60" s="78"/>
      <c r="L60" s="77"/>
      <c r="M60" s="9"/>
      <c r="N60" s="244" t="s">
        <v>397</v>
      </c>
      <c r="O60" s="297"/>
      <c r="P60" s="297"/>
      <c r="Q60" s="244" t="s">
        <v>462</v>
      </c>
      <c r="R60" s="8"/>
      <c r="S60" s="9"/>
      <c r="T60" s="9"/>
      <c r="U60" s="9"/>
      <c r="V60" s="9"/>
      <c r="W60" s="400"/>
      <c r="X60" s="9"/>
      <c r="Y60" s="9"/>
      <c r="Z60" s="9"/>
    </row>
    <row r="61" spans="1:26" ht="20.149999999999999" customHeight="1" x14ac:dyDescent="0.35">
      <c r="A61" s="404"/>
      <c r="B61" s="9"/>
      <c r="C61" s="9"/>
      <c r="D61" s="9"/>
      <c r="E61" s="9"/>
      <c r="F61" s="9"/>
      <c r="G61" s="9"/>
      <c r="H61" s="9"/>
      <c r="I61" s="9"/>
      <c r="J61" s="9"/>
      <c r="K61" s="9"/>
      <c r="L61" s="9"/>
      <c r="M61" s="9"/>
      <c r="N61" s="298"/>
      <c r="O61" s="298"/>
      <c r="P61" s="298"/>
      <c r="Q61" s="298"/>
      <c r="R61" s="9"/>
      <c r="S61" s="9"/>
      <c r="T61" s="9"/>
      <c r="U61" s="9"/>
      <c r="V61" s="9"/>
      <c r="W61" s="400"/>
      <c r="X61" s="9"/>
      <c r="Y61" s="9"/>
      <c r="Z61" s="9"/>
    </row>
    <row r="62" spans="1:26" x14ac:dyDescent="0.3">
      <c r="A62" s="434"/>
      <c r="B62" s="80"/>
      <c r="C62" s="80"/>
      <c r="D62" s="9"/>
      <c r="E62" s="9"/>
      <c r="F62" s="731"/>
      <c r="G62" s="731"/>
      <c r="H62" s="731"/>
      <c r="I62" s="8"/>
      <c r="J62" s="8" t="s">
        <v>463</v>
      </c>
      <c r="K62" s="8"/>
      <c r="L62" s="8"/>
      <c r="M62" s="8"/>
      <c r="N62" s="297" t="s">
        <v>119</v>
      </c>
      <c r="O62" s="297"/>
      <c r="P62" s="297"/>
      <c r="Q62" s="297" t="s">
        <v>400</v>
      </c>
      <c r="R62" s="9"/>
      <c r="S62" s="9"/>
      <c r="T62" s="8"/>
      <c r="U62" s="9"/>
      <c r="V62" s="9"/>
      <c r="W62" s="400"/>
      <c r="X62" s="9"/>
      <c r="Y62" s="9"/>
      <c r="Z62" s="9"/>
    </row>
    <row r="63" spans="1:26" x14ac:dyDescent="0.35">
      <c r="A63" s="435"/>
      <c r="B63" s="436"/>
      <c r="C63" s="436"/>
      <c r="D63" s="436"/>
      <c r="E63" s="436"/>
      <c r="F63" s="436" t="s">
        <v>401</v>
      </c>
      <c r="G63" s="436"/>
      <c r="H63" s="436"/>
      <c r="I63" s="436"/>
      <c r="J63" s="436" t="s">
        <v>402</v>
      </c>
      <c r="K63" s="436"/>
      <c r="L63" s="436"/>
      <c r="M63" s="436"/>
      <c r="N63" s="246" t="s">
        <v>403</v>
      </c>
      <c r="O63" s="246"/>
      <c r="P63" s="246"/>
      <c r="Q63" s="246" t="s">
        <v>404</v>
      </c>
      <c r="R63" s="436"/>
      <c r="S63" s="436"/>
      <c r="T63" s="436"/>
      <c r="U63" s="436"/>
      <c r="V63" s="436"/>
      <c r="W63" s="437"/>
      <c r="X63" s="84"/>
      <c r="Y63" s="84"/>
      <c r="Z63" s="84"/>
    </row>
    <row r="65" spans="14:26" x14ac:dyDescent="0.35">
      <c r="N65" s="2" t="s">
        <v>464</v>
      </c>
      <c r="V65" s="85"/>
      <c r="W65" s="86"/>
      <c r="X65" s="86"/>
      <c r="Y65" s="86"/>
      <c r="Z65" s="86"/>
    </row>
    <row r="66" spans="14:26" x14ac:dyDescent="0.35">
      <c r="V66" s="85"/>
      <c r="W66" s="86"/>
      <c r="X66" s="86"/>
      <c r="Y66" s="86"/>
      <c r="Z66" s="86"/>
    </row>
    <row r="67" spans="14:26" x14ac:dyDescent="0.35">
      <c r="V67" s="85"/>
      <c r="W67" s="86"/>
      <c r="X67" s="86"/>
      <c r="Y67" s="86"/>
      <c r="Z67" s="86"/>
    </row>
    <row r="68" spans="14:26" x14ac:dyDescent="0.35">
      <c r="V68" s="85"/>
      <c r="W68" s="86"/>
      <c r="X68" s="86"/>
      <c r="Y68" s="86"/>
      <c r="Z68" s="86"/>
    </row>
    <row r="69" spans="14:26" x14ac:dyDescent="0.35">
      <c r="V69" s="85"/>
      <c r="W69" s="86"/>
      <c r="X69" s="86"/>
      <c r="Y69" s="86"/>
      <c r="Z69" s="86"/>
    </row>
    <row r="70" spans="14:26" x14ac:dyDescent="0.35">
      <c r="V70" s="85"/>
      <c r="W70" s="86"/>
      <c r="X70" s="86"/>
      <c r="Y70" s="86"/>
      <c r="Z70" s="86"/>
    </row>
    <row r="71" spans="14:26" x14ac:dyDescent="0.35">
      <c r="V71" s="85"/>
      <c r="W71" s="86"/>
      <c r="X71" s="86"/>
      <c r="Y71" s="86"/>
      <c r="Z71" s="86"/>
    </row>
    <row r="72" spans="14:26" x14ac:dyDescent="0.35">
      <c r="V72" s="85"/>
      <c r="W72" s="86"/>
      <c r="X72" s="86"/>
      <c r="Y72" s="86"/>
      <c r="Z72" s="86"/>
    </row>
    <row r="73" spans="14:26" x14ac:dyDescent="0.35">
      <c r="V73" s="85"/>
      <c r="W73" s="86"/>
      <c r="X73" s="86"/>
      <c r="Y73" s="86"/>
      <c r="Z73" s="86"/>
    </row>
    <row r="74" spans="14:26" x14ac:dyDescent="0.35">
      <c r="V74" s="85"/>
      <c r="W74" s="86"/>
      <c r="X74" s="86"/>
      <c r="Y74" s="86"/>
      <c r="Z74" s="86"/>
    </row>
    <row r="75" spans="14:26" x14ac:dyDescent="0.35">
      <c r="V75" s="85"/>
      <c r="W75" s="86"/>
      <c r="X75" s="86"/>
      <c r="Y75" s="86"/>
      <c r="Z75" s="86"/>
    </row>
    <row r="76" spans="14:26" x14ac:dyDescent="0.35">
      <c r="V76" s="85"/>
      <c r="W76" s="86"/>
      <c r="X76" s="86"/>
      <c r="Y76" s="86"/>
      <c r="Z76" s="86"/>
    </row>
    <row r="77" spans="14:26" x14ac:dyDescent="0.35">
      <c r="V77" s="85"/>
      <c r="W77" s="86"/>
      <c r="X77" s="86"/>
      <c r="Y77" s="86"/>
      <c r="Z77" s="86"/>
    </row>
    <row r="78" spans="14:26" x14ac:dyDescent="0.35">
      <c r="V78" s="85"/>
      <c r="W78" s="86"/>
      <c r="X78" s="86"/>
      <c r="Y78" s="86"/>
      <c r="Z78" s="86"/>
    </row>
    <row r="79" spans="14:26" x14ac:dyDescent="0.35">
      <c r="V79" s="85"/>
      <c r="W79" s="86"/>
      <c r="X79" s="86"/>
      <c r="Y79" s="86"/>
      <c r="Z79" s="86"/>
    </row>
    <row r="80" spans="14:26" x14ac:dyDescent="0.35">
      <c r="W80" s="87"/>
      <c r="X80" s="87"/>
      <c r="Y80" s="87"/>
      <c r="Z80" s="87"/>
    </row>
    <row r="81" spans="22:26" x14ac:dyDescent="0.35">
      <c r="W81" s="86"/>
      <c r="X81" s="86"/>
      <c r="Y81" s="86"/>
      <c r="Z81" s="86"/>
    </row>
    <row r="82" spans="22:26" x14ac:dyDescent="0.35">
      <c r="W82" s="86"/>
      <c r="X82" s="86"/>
      <c r="Y82" s="86"/>
      <c r="Z82" s="86"/>
    </row>
    <row r="84" spans="22:26" x14ac:dyDescent="0.35">
      <c r="V84" s="88"/>
      <c r="W84" s="89"/>
      <c r="X84" s="90"/>
      <c r="Y84" s="90"/>
      <c r="Z84" s="90"/>
    </row>
    <row r="85" spans="22:26" x14ac:dyDescent="0.35">
      <c r="V85" s="91"/>
      <c r="W85" s="92"/>
      <c r="X85" s="93"/>
      <c r="Y85" s="93"/>
      <c r="Z85" s="93"/>
    </row>
    <row r="86" spans="22:26" x14ac:dyDescent="0.35">
      <c r="V86" s="91"/>
      <c r="W86" s="92"/>
      <c r="X86" s="93"/>
      <c r="Y86" s="93"/>
      <c r="Z86" s="93"/>
    </row>
    <row r="87" spans="22:26" x14ac:dyDescent="0.35">
      <c r="V87" s="91"/>
      <c r="W87" s="92"/>
      <c r="X87" s="93"/>
      <c r="Y87" s="93"/>
      <c r="Z87" s="93"/>
    </row>
    <row r="88" spans="22:26" x14ac:dyDescent="0.35">
      <c r="V88" s="91"/>
      <c r="W88" s="92"/>
      <c r="X88" s="93"/>
      <c r="Y88" s="93"/>
      <c r="Z88" s="93"/>
    </row>
    <row r="89" spans="22:26" x14ac:dyDescent="0.35">
      <c r="V89" s="91"/>
      <c r="W89" s="92"/>
      <c r="X89" s="93"/>
      <c r="Y89" s="93"/>
      <c r="Z89" s="93"/>
    </row>
    <row r="90" spans="22:26" x14ac:dyDescent="0.35">
      <c r="V90" s="91"/>
      <c r="W90" s="92"/>
      <c r="X90" s="93"/>
      <c r="Y90" s="93"/>
      <c r="Z90" s="93"/>
    </row>
  </sheetData>
  <mergeCells count="81">
    <mergeCell ref="F62:H62"/>
    <mergeCell ref="P48:Q48"/>
    <mergeCell ref="P49:Q49"/>
    <mergeCell ref="A56:G56"/>
    <mergeCell ref="H56:W56"/>
    <mergeCell ref="I45:J45"/>
    <mergeCell ref="K45:N45"/>
    <mergeCell ref="Q45:S45"/>
    <mergeCell ref="T45:W45"/>
    <mergeCell ref="A57:G57"/>
    <mergeCell ref="H57:W57"/>
    <mergeCell ref="R48:T48"/>
    <mergeCell ref="R49:T49"/>
    <mergeCell ref="A44:G44"/>
    <mergeCell ref="I44:J44"/>
    <mergeCell ref="K44:N44"/>
    <mergeCell ref="Q44:S44"/>
    <mergeCell ref="T44:W44"/>
    <mergeCell ref="A43:G43"/>
    <mergeCell ref="I43:J43"/>
    <mergeCell ref="K43:N43"/>
    <mergeCell ref="Q43:S43"/>
    <mergeCell ref="T43:W43"/>
    <mergeCell ref="A42:G42"/>
    <mergeCell ref="I42:J42"/>
    <mergeCell ref="K42:N42"/>
    <mergeCell ref="Q42:S42"/>
    <mergeCell ref="T42:W42"/>
    <mergeCell ref="A39:G39"/>
    <mergeCell ref="I39:J39"/>
    <mergeCell ref="K39:N39"/>
    <mergeCell ref="Q39:S39"/>
    <mergeCell ref="T39:W39"/>
    <mergeCell ref="A38:G38"/>
    <mergeCell ref="I38:J38"/>
    <mergeCell ref="K38:N38"/>
    <mergeCell ref="Q38:S38"/>
    <mergeCell ref="T38:W38"/>
    <mergeCell ref="A37:G37"/>
    <mergeCell ref="I37:J37"/>
    <mergeCell ref="K37:N37"/>
    <mergeCell ref="Q37:S37"/>
    <mergeCell ref="T37:W37"/>
    <mergeCell ref="A36:G36"/>
    <mergeCell ref="I36:J36"/>
    <mergeCell ref="K36:N36"/>
    <mergeCell ref="Q36:S36"/>
    <mergeCell ref="T36:W36"/>
    <mergeCell ref="B21:D21"/>
    <mergeCell ref="E21:H21"/>
    <mergeCell ref="B22:D22"/>
    <mergeCell ref="E22:H22"/>
    <mergeCell ref="A33:G34"/>
    <mergeCell ref="H33:N33"/>
    <mergeCell ref="P33:W33"/>
    <mergeCell ref="I34:J34"/>
    <mergeCell ref="K34:N34"/>
    <mergeCell ref="Q34:S34"/>
    <mergeCell ref="T34:W34"/>
    <mergeCell ref="A1:W1"/>
    <mergeCell ref="A2:W2"/>
    <mergeCell ref="E8:M8"/>
    <mergeCell ref="R8:V8"/>
    <mergeCell ref="E12:M12"/>
    <mergeCell ref="R12:V12"/>
    <mergeCell ref="I4:M4"/>
    <mergeCell ref="R10:V10"/>
    <mergeCell ref="B20:D20"/>
    <mergeCell ref="E20:H20"/>
    <mergeCell ref="N20:P20"/>
    <mergeCell ref="A12:D12"/>
    <mergeCell ref="E10:M10"/>
    <mergeCell ref="B19:D19"/>
    <mergeCell ref="E19:H19"/>
    <mergeCell ref="N19:P19"/>
    <mergeCell ref="B17:D17"/>
    <mergeCell ref="E17:H17"/>
    <mergeCell ref="N17:P17"/>
    <mergeCell ref="B18:D18"/>
    <mergeCell ref="E18:H18"/>
    <mergeCell ref="N18:P18"/>
  </mergeCells>
  <dataValidations count="4">
    <dataValidation allowBlank="1" showInputMessage="1" showErrorMessage="1" sqref="E22:H22 E17:H17 Q17:Q20 R10:V10 R12:V12" xr:uid="{C00DF2F8-2B1B-4ACF-A4DB-DCCD030E9097}"/>
    <dataValidation type="list" allowBlank="1" showInputMessage="1" showErrorMessage="1" sqref="W48:Z48 E23" xr:uid="{D7DDBB10-3D0C-4924-9BA6-0880FA0C8E65}">
      <formula1>$W$65:$W$79</formula1>
    </dataValidation>
    <dataValidation type="list" allowBlank="1" showInputMessage="1" showErrorMessage="1" sqref="W49:Z49" xr:uid="{19438489-4092-47B6-980D-8EA39695C0E1}">
      <formula1>$W$81:$W$82</formula1>
    </dataValidation>
    <dataValidation allowBlank="1" showInputMessage="1" showErrorMessage="1" prompt="from LCM" sqref="A12:D12" xr:uid="{445CE42C-2162-454A-88F9-430525D09D30}"/>
  </dataValidations>
  <printOptions horizontalCentered="1" verticalCentered="1"/>
  <pageMargins left="0.23622047244094491" right="0.23622047244094491" top="0.23622047244094491" bottom="0.23622047244094491" header="3.937007874015748E-2" footer="3.937007874015748E-2"/>
  <pageSetup paperSize="5" scale="75" orientation="portrait" r:id="rId1"/>
  <headerFooter scaleWithDoc="0" alignWithMargins="0"/>
  <extLst>
    <ext xmlns:x14="http://schemas.microsoft.com/office/spreadsheetml/2009/9/main" uri="{CCE6A557-97BC-4b89-ADB6-D9C93CAAB3DF}">
      <x14:dataValidations xmlns:xm="http://schemas.microsoft.com/office/excel/2006/main" count="7">
        <x14:dataValidation type="list" allowBlank="1" showInputMessage="1" showErrorMessage="1" xr:uid="{6B7BEC30-7757-4A4D-B884-36414B5F5DAA}">
          <x14:formula1>
            <xm:f>'Drop Down List'!$B$46:$B$49</xm:f>
          </x14:formula1>
          <xm:sqref>F62:H62</xm:sqref>
        </x14:dataValidation>
        <x14:dataValidation type="list" allowBlank="1" showInputMessage="1" showErrorMessage="1" xr:uid="{5303738F-B8E0-442B-ABA4-634E0A701623}">
          <x14:formula1>
            <xm:f>'Drop Down List'!$E$47:$E$51</xm:f>
          </x14:formula1>
          <xm:sqref>R8:V8</xm:sqref>
        </x14:dataValidation>
        <x14:dataValidation type="list" allowBlank="1" showInputMessage="1" showErrorMessage="1" xr:uid="{8A688A32-027F-4B8D-914E-CC08D663C0A7}">
          <x14:formula1>
            <xm:f>'Drop Down List'!$B$30:$B$31</xm:f>
          </x14:formula1>
          <xm:sqref>E21:H21</xm:sqref>
        </x14:dataValidation>
        <x14:dataValidation type="list" allowBlank="1" showInputMessage="1" showErrorMessage="1" xr:uid="{6352141A-74AA-43C1-AB34-35ACC5FEF879}">
          <x14:formula1>
            <xm:f>'Drop Down List'!$B$27:$B$29</xm:f>
          </x14:formula1>
          <xm:sqref>E20:H20</xm:sqref>
        </x14:dataValidation>
        <x14:dataValidation type="list" allowBlank="1" showInputMessage="1" showErrorMessage="1" xr:uid="{3CCE480D-A567-4E17-8EC1-A314B466E4C5}">
          <x14:formula1>
            <xm:f>'Drop Down List'!$B$17:$B$26</xm:f>
          </x14:formula1>
          <xm:sqref>E19:H19</xm:sqref>
        </x14:dataValidation>
        <x14:dataValidation type="list" allowBlank="1" showInputMessage="1" showErrorMessage="1" xr:uid="{0022EA62-D72B-4E63-9E96-60148E5AA7C5}">
          <x14:formula1>
            <xm:f>'Drop Down List'!$B$8:$B$16</xm:f>
          </x14:formula1>
          <xm:sqref>E18:H18</xm:sqref>
        </x14:dataValidation>
        <x14:dataValidation type="list" allowBlank="1" showInputMessage="1" showErrorMessage="1" xr:uid="{3B805E31-20DB-46C5-A2CD-7B92D33F6775}">
          <x14:formula1>
            <xm:f>'Drop Down List'!$B$57:$B$58</xm:f>
          </x14:formula1>
          <xm:sqref>I4:M4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8BC6F-AEFA-413A-A471-931B43226C26}">
  <sheetPr>
    <tabColor rgb="FFFFC000"/>
  </sheetPr>
  <dimension ref="A1:XFC30"/>
  <sheetViews>
    <sheetView showGridLines="0" zoomScale="85" zoomScaleNormal="85" zoomScaleSheetLayoutView="100" workbookViewId="0">
      <pane xSplit="4" ySplit="10" topLeftCell="E31" activePane="bottomRight" state="frozen"/>
      <selection pane="topRight" activeCell="E1" sqref="E1"/>
      <selection pane="bottomLeft" activeCell="A11" sqref="A11"/>
      <selection pane="bottomRight"/>
    </sheetView>
  </sheetViews>
  <sheetFormatPr defaultColWidth="9.1796875" defaultRowHeight="14.5" x14ac:dyDescent="0.35"/>
  <cols>
    <col min="1" max="1" width="2" style="2" customWidth="1"/>
    <col min="2" max="2" width="32.1796875" style="2" bestFit="1" customWidth="1"/>
    <col min="3" max="3" width="14.453125" style="2" customWidth="1"/>
    <col min="4" max="4" width="14.81640625" style="2" customWidth="1"/>
    <col min="5" max="5" width="1.26953125" style="2" customWidth="1"/>
    <col min="6" max="6" width="12.7265625" style="2" customWidth="1"/>
    <col min="7" max="8" width="14.54296875" style="2" customWidth="1"/>
    <col min="9" max="9" width="13.453125" style="2" customWidth="1"/>
    <col min="10" max="10" width="13" style="2" customWidth="1"/>
    <col min="11" max="11" width="12.7265625" style="2" customWidth="1"/>
    <col min="12" max="12" width="15.1796875" style="2" customWidth="1"/>
    <col min="13" max="13" width="16" style="2" customWidth="1"/>
    <col min="14" max="14" width="1.26953125" style="2" customWidth="1"/>
    <col min="15" max="16" width="12.1796875" style="2" customWidth="1"/>
    <col min="17" max="17" width="14.453125" style="2" bestFit="1" customWidth="1"/>
    <col min="18" max="18" width="13.54296875" style="2" bestFit="1" customWidth="1"/>
    <col min="19" max="19" width="1.26953125" style="2" customWidth="1"/>
    <col min="20" max="22" width="14.453125" style="2" customWidth="1"/>
    <col min="23" max="23" width="13.54296875" style="2" bestFit="1" customWidth="1"/>
    <col min="24" max="16382" width="9.1796875" style="2"/>
    <col min="16383" max="16383" width="9.1796875" style="2" bestFit="1" customWidth="1"/>
    <col min="16384" max="16384" width="9.1796875" style="2"/>
  </cols>
  <sheetData>
    <row r="1" spans="2:17" x14ac:dyDescent="0.35">
      <c r="B1" s="173" t="s">
        <v>465</v>
      </c>
    </row>
    <row r="2" spans="2:17" x14ac:dyDescent="0.35">
      <c r="B2" s="184" t="s">
        <v>406</v>
      </c>
      <c r="C2" s="622" t="s">
        <v>407</v>
      </c>
      <c r="D2" s="623"/>
      <c r="E2" s="102"/>
      <c r="F2" s="624" t="s">
        <v>408</v>
      </c>
      <c r="G2" s="625"/>
      <c r="H2" s="626" t="s">
        <v>409</v>
      </c>
      <c r="I2" s="613" t="s">
        <v>410</v>
      </c>
      <c r="J2" s="628" t="s">
        <v>411</v>
      </c>
      <c r="K2" s="629"/>
      <c r="L2" s="613" t="s">
        <v>412</v>
      </c>
      <c r="M2" s="613" t="s">
        <v>366</v>
      </c>
      <c r="N2" s="613"/>
      <c r="O2" s="613"/>
      <c r="P2" s="613"/>
      <c r="Q2" s="614"/>
    </row>
    <row r="3" spans="2:17" ht="14.5" customHeight="1" x14ac:dyDescent="0.35">
      <c r="B3" s="736" t="e">
        <f>'JO Regular'!E8</f>
        <v>#N/A</v>
      </c>
      <c r="C3" s="103" t="s">
        <v>413</v>
      </c>
      <c r="D3" s="185" t="s">
        <v>414</v>
      </c>
      <c r="E3" s="102"/>
      <c r="F3" s="103" t="s">
        <v>413</v>
      </c>
      <c r="G3" s="103" t="s">
        <v>414</v>
      </c>
      <c r="H3" s="627"/>
      <c r="I3" s="615"/>
      <c r="J3" s="104" t="s">
        <v>364</v>
      </c>
      <c r="K3" s="104" t="s">
        <v>365</v>
      </c>
      <c r="L3" s="615"/>
      <c r="M3" s="615"/>
      <c r="N3" s="615"/>
      <c r="O3" s="615"/>
      <c r="P3" s="615"/>
      <c r="Q3" s="616"/>
    </row>
    <row r="4" spans="2:17" x14ac:dyDescent="0.35">
      <c r="B4" s="737"/>
      <c r="C4" s="739">
        <f>'JO Project'!H36</f>
        <v>40000</v>
      </c>
      <c r="D4" s="742">
        <v>13</v>
      </c>
      <c r="E4" s="105"/>
      <c r="F4" s="745">
        <f>(C4*D4)/G4</f>
        <v>34666.666666666664</v>
      </c>
      <c r="G4" s="748">
        <v>15</v>
      </c>
      <c r="H4" s="106" t="s">
        <v>415</v>
      </c>
      <c r="I4" s="293">
        <v>60000</v>
      </c>
      <c r="J4" s="107" t="e">
        <f>F27</f>
        <v>#N/A</v>
      </c>
      <c r="K4" s="107" t="e">
        <f>G27</f>
        <v>#N/A</v>
      </c>
      <c r="L4" s="295"/>
      <c r="M4" s="619"/>
      <c r="N4" s="620"/>
      <c r="O4" s="620"/>
      <c r="P4" s="620"/>
      <c r="Q4" s="621"/>
    </row>
    <row r="5" spans="2:17" x14ac:dyDescent="0.35">
      <c r="B5" s="737"/>
      <c r="C5" s="740"/>
      <c r="D5" s="743"/>
      <c r="E5" s="105"/>
      <c r="F5" s="746"/>
      <c r="G5" s="740"/>
      <c r="H5" s="106" t="s">
        <v>417</v>
      </c>
      <c r="I5" s="293">
        <v>65000</v>
      </c>
      <c r="J5" s="107" t="e">
        <f>H27</f>
        <v>#N/A</v>
      </c>
      <c r="K5" s="107" t="e">
        <f>I27</f>
        <v>#N/A</v>
      </c>
      <c r="L5" s="295"/>
      <c r="M5" s="619"/>
      <c r="N5" s="620"/>
      <c r="O5" s="620"/>
      <c r="P5" s="620"/>
      <c r="Q5" s="621"/>
    </row>
    <row r="6" spans="2:17" x14ac:dyDescent="0.35">
      <c r="B6" s="737"/>
      <c r="C6" s="740"/>
      <c r="D6" s="743"/>
      <c r="E6" s="105"/>
      <c r="F6" s="746"/>
      <c r="G6" s="740"/>
      <c r="H6" s="106" t="s">
        <v>419</v>
      </c>
      <c r="I6" s="293">
        <v>70000</v>
      </c>
      <c r="J6" s="107" t="e">
        <f>J27</f>
        <v>#N/A</v>
      </c>
      <c r="K6" s="107" t="e">
        <f>K27</f>
        <v>#N/A</v>
      </c>
      <c r="L6" s="295"/>
      <c r="M6" s="619"/>
      <c r="N6" s="620"/>
      <c r="O6" s="620"/>
      <c r="P6" s="620"/>
      <c r="Q6" s="621"/>
    </row>
    <row r="7" spans="2:17" x14ac:dyDescent="0.35">
      <c r="B7" s="738"/>
      <c r="C7" s="741"/>
      <c r="D7" s="744"/>
      <c r="E7" s="105"/>
      <c r="F7" s="747"/>
      <c r="G7" s="741"/>
      <c r="H7" s="108" t="s">
        <v>421</v>
      </c>
      <c r="I7" s="294">
        <v>75000</v>
      </c>
      <c r="J7" s="109" t="e">
        <f>L27</f>
        <v>#N/A</v>
      </c>
      <c r="K7" s="109" t="e">
        <f>M27</f>
        <v>#N/A</v>
      </c>
      <c r="L7" s="296"/>
      <c r="M7" s="630"/>
      <c r="N7" s="630"/>
      <c r="O7" s="630"/>
      <c r="P7" s="630"/>
      <c r="Q7" s="631"/>
    </row>
    <row r="8" spans="2:17" s="6" customFormat="1" ht="22.5" hidden="1" customHeight="1" x14ac:dyDescent="0.35">
      <c r="B8" s="18"/>
      <c r="C8" s="438"/>
      <c r="D8" s="439"/>
      <c r="F8" s="9"/>
      <c r="G8" s="9"/>
      <c r="I8" s="9"/>
    </row>
    <row r="9" spans="2:17" hidden="1" x14ac:dyDescent="0.35">
      <c r="B9" s="734" t="s">
        <v>361</v>
      </c>
      <c r="C9" s="664" t="s">
        <v>362</v>
      </c>
      <c r="D9" s="664"/>
      <c r="F9" s="749" t="s">
        <v>422</v>
      </c>
      <c r="G9" s="750"/>
      <c r="H9" s="750" t="s">
        <v>423</v>
      </c>
      <c r="I9" s="751"/>
      <c r="J9" s="749" t="s">
        <v>424</v>
      </c>
      <c r="K9" s="750"/>
      <c r="L9" s="749" t="s">
        <v>425</v>
      </c>
      <c r="M9" s="750"/>
    </row>
    <row r="10" spans="2:17" hidden="1" x14ac:dyDescent="0.35">
      <c r="B10" s="735"/>
      <c r="C10" s="28" t="s">
        <v>364</v>
      </c>
      <c r="D10" s="28" t="s">
        <v>365</v>
      </c>
      <c r="F10" s="440" t="s">
        <v>364</v>
      </c>
      <c r="G10" s="441" t="s">
        <v>365</v>
      </c>
      <c r="H10" s="440" t="s">
        <v>364</v>
      </c>
      <c r="I10" s="441" t="s">
        <v>365</v>
      </c>
      <c r="J10" s="440" t="s">
        <v>364</v>
      </c>
      <c r="K10" s="441" t="s">
        <v>365</v>
      </c>
      <c r="L10" s="440" t="s">
        <v>364</v>
      </c>
      <c r="M10" s="441" t="s">
        <v>365</v>
      </c>
    </row>
    <row r="11" spans="2:17" hidden="1" x14ac:dyDescent="0.35">
      <c r="B11" s="31" t="s">
        <v>369</v>
      </c>
      <c r="C11" s="32"/>
      <c r="D11" s="32"/>
      <c r="F11" s="442"/>
      <c r="G11" s="35"/>
      <c r="H11" s="442"/>
      <c r="I11" s="35"/>
      <c r="J11" s="442"/>
      <c r="K11" s="35"/>
      <c r="L11" s="442"/>
      <c r="M11" s="35"/>
    </row>
    <row r="12" spans="2:17" s="6" customFormat="1" hidden="1" x14ac:dyDescent="0.35">
      <c r="B12" s="198" t="s">
        <v>370</v>
      </c>
      <c r="C12" s="199">
        <f>'JO Project'!H36</f>
        <v>40000</v>
      </c>
      <c r="D12" s="186">
        <f>'JO Project'!I36</f>
        <v>480000</v>
      </c>
      <c r="F12" s="443">
        <f>I4</f>
        <v>60000</v>
      </c>
      <c r="G12" s="444">
        <f>F12*12</f>
        <v>720000</v>
      </c>
      <c r="H12" s="443">
        <f>I5</f>
        <v>65000</v>
      </c>
      <c r="I12" s="444">
        <f>H12*12</f>
        <v>780000</v>
      </c>
      <c r="J12" s="443">
        <f>I6</f>
        <v>70000</v>
      </c>
      <c r="K12" s="444">
        <f>J12*12</f>
        <v>840000</v>
      </c>
      <c r="L12" s="443">
        <f>I7</f>
        <v>75000</v>
      </c>
      <c r="M12" s="444">
        <f>L12*12</f>
        <v>900000</v>
      </c>
      <c r="O12" s="2"/>
      <c r="P12" s="2"/>
    </row>
    <row r="13" spans="2:17" ht="15.75" hidden="1" customHeight="1" x14ac:dyDescent="0.35">
      <c r="B13" s="200" t="s">
        <v>371</v>
      </c>
      <c r="C13" s="186">
        <f>'JO Project'!H37</f>
        <v>0</v>
      </c>
      <c r="D13" s="186" t="e">
        <f>'JO Project'!I37</f>
        <v>#N/A</v>
      </c>
      <c r="F13" s="445"/>
      <c r="G13" s="446">
        <f>F12*1</f>
        <v>60000</v>
      </c>
      <c r="H13" s="445"/>
      <c r="I13" s="446">
        <f>H12*1</f>
        <v>65000</v>
      </c>
      <c r="J13" s="445"/>
      <c r="K13" s="446">
        <f>J12*1</f>
        <v>70000</v>
      </c>
      <c r="L13" s="445"/>
      <c r="M13" s="446">
        <f>L12*1</f>
        <v>75000</v>
      </c>
    </row>
    <row r="14" spans="2:17" s="6" customFormat="1" ht="15" hidden="1" customHeight="1" x14ac:dyDescent="0.35">
      <c r="B14" s="200" t="s">
        <v>373</v>
      </c>
      <c r="C14" s="186">
        <f>'JO Project'!H38</f>
        <v>0</v>
      </c>
      <c r="D14" s="186" t="e">
        <f>'JO Project'!I38</f>
        <v>#N/A</v>
      </c>
      <c r="F14" s="445"/>
      <c r="G14" s="446">
        <f>F12*2</f>
        <v>120000</v>
      </c>
      <c r="H14" s="445"/>
      <c r="I14" s="446">
        <f>H12*2</f>
        <v>130000</v>
      </c>
      <c r="J14" s="445"/>
      <c r="K14" s="446">
        <f>J12*2</f>
        <v>140000</v>
      </c>
      <c r="L14" s="445"/>
      <c r="M14" s="446">
        <f>L12*2</f>
        <v>150000</v>
      </c>
      <c r="O14" s="2"/>
      <c r="P14" s="2"/>
    </row>
    <row r="15" spans="2:17" s="6" customFormat="1" ht="15" hidden="1" customHeight="1" x14ac:dyDescent="0.35">
      <c r="B15" s="201" t="s">
        <v>376</v>
      </c>
      <c r="C15" s="199" t="e">
        <f>'JO Project'!H39</f>
        <v>#N/A</v>
      </c>
      <c r="D15" s="186" t="e">
        <f>'JO Project'!I39</f>
        <v>#N/A</v>
      </c>
      <c r="F15" s="445"/>
      <c r="G15" s="446"/>
      <c r="H15" s="445"/>
      <c r="I15" s="446"/>
      <c r="J15" s="445"/>
      <c r="K15" s="446"/>
      <c r="L15" s="445"/>
      <c r="M15" s="446"/>
      <c r="O15" s="2"/>
      <c r="P15" s="2"/>
    </row>
    <row r="16" spans="2:17" s="6" customFormat="1" ht="6" hidden="1" customHeight="1" x14ac:dyDescent="0.35">
      <c r="B16" s="16"/>
      <c r="C16" s="9"/>
      <c r="D16" s="9"/>
      <c r="F16" s="447"/>
      <c r="G16" s="9"/>
      <c r="H16" s="447"/>
      <c r="I16" s="9"/>
      <c r="J16" s="447"/>
      <c r="K16" s="9"/>
      <c r="L16" s="447"/>
      <c r="M16" s="9"/>
      <c r="O16" s="2"/>
      <c r="P16" s="2"/>
    </row>
    <row r="17" spans="1:16383" hidden="1" x14ac:dyDescent="0.35">
      <c r="B17" s="202" t="s">
        <v>378</v>
      </c>
      <c r="C17" s="47"/>
      <c r="D17" s="47"/>
      <c r="F17" s="448"/>
      <c r="G17" s="50"/>
      <c r="H17" s="448"/>
      <c r="I17" s="50"/>
      <c r="J17" s="448"/>
      <c r="K17" s="50"/>
      <c r="L17" s="448"/>
      <c r="M17" s="50"/>
    </row>
    <row r="18" spans="1:16383" ht="15" hidden="1" customHeight="1" x14ac:dyDescent="0.35">
      <c r="B18" s="203" t="s">
        <v>380</v>
      </c>
      <c r="C18" s="187">
        <f>'JO Project'!H42</f>
        <v>0</v>
      </c>
      <c r="D18" s="188" t="e">
        <f>'JO Project'!I42</f>
        <v>#N/A</v>
      </c>
      <c r="F18" s="449"/>
      <c r="G18" s="444">
        <f>F12*1</f>
        <v>60000</v>
      </c>
      <c r="H18" s="449"/>
      <c r="I18" s="444">
        <f>H12*1</f>
        <v>65000</v>
      </c>
      <c r="J18" s="449"/>
      <c r="K18" s="444">
        <f>J12*1</f>
        <v>70000</v>
      </c>
      <c r="L18" s="449"/>
      <c r="M18" s="444">
        <f>L12*1</f>
        <v>75000</v>
      </c>
    </row>
    <row r="19" spans="1:16383" ht="15" hidden="1" customHeight="1" x14ac:dyDescent="0.35">
      <c r="B19" s="203" t="s">
        <v>382</v>
      </c>
      <c r="C19" s="187">
        <f>'JO Project'!H43</f>
        <v>0</v>
      </c>
      <c r="D19" s="188" t="e">
        <f>'JO Project'!I43</f>
        <v>#N/A</v>
      </c>
      <c r="F19" s="449">
        <f>'JO Project'!P43</f>
        <v>0</v>
      </c>
      <c r="G19" s="446">
        <f>'JO Project'!Q43</f>
        <v>0</v>
      </c>
      <c r="H19" s="449">
        <f>F19</f>
        <v>0</v>
      </c>
      <c r="I19" s="446">
        <f>H19*12</f>
        <v>0</v>
      </c>
      <c r="J19" s="449">
        <f>H19</f>
        <v>0</v>
      </c>
      <c r="K19" s="446">
        <f>J19*12</f>
        <v>0</v>
      </c>
      <c r="L19" s="449">
        <f>J19</f>
        <v>0</v>
      </c>
      <c r="M19" s="446">
        <f>L19*12</f>
        <v>0</v>
      </c>
    </row>
    <row r="20" spans="1:16383" ht="15" hidden="1" customHeight="1" x14ac:dyDescent="0.35">
      <c r="B20" s="204" t="s">
        <v>384</v>
      </c>
      <c r="C20" s="187">
        <f>'JO Project'!H44</f>
        <v>0</v>
      </c>
      <c r="D20" s="188" t="e">
        <f>'JO Project'!I44</f>
        <v>#N/A</v>
      </c>
      <c r="F20" s="450"/>
      <c r="G20" s="444">
        <f>'JO Project'!Q44</f>
        <v>0</v>
      </c>
      <c r="H20" s="449">
        <f>F20</f>
        <v>0</v>
      </c>
      <c r="I20" s="446">
        <f>H20*12</f>
        <v>0</v>
      </c>
      <c r="J20" s="449">
        <f>H20</f>
        <v>0</v>
      </c>
      <c r="K20" s="446">
        <f>J20*12</f>
        <v>0</v>
      </c>
      <c r="L20" s="449">
        <f>J20</f>
        <v>0</v>
      </c>
      <c r="M20" s="446">
        <f>L20*12</f>
        <v>0</v>
      </c>
    </row>
    <row r="21" spans="1:16383" hidden="1" x14ac:dyDescent="0.35">
      <c r="B21" s="202" t="s">
        <v>385</v>
      </c>
      <c r="C21" s="58" t="e">
        <f>SUM(C12:C15,C18:C20)</f>
        <v>#N/A</v>
      </c>
      <c r="D21" s="331" t="e">
        <f>SUM(D12:D15,D18:D20)</f>
        <v>#N/A</v>
      </c>
      <c r="F21" s="451">
        <f t="shared" ref="F21:M21" si="0">SUM(F12:F15,F18:F20)</f>
        <v>60000</v>
      </c>
      <c r="G21" s="332">
        <f t="shared" si="0"/>
        <v>960000</v>
      </c>
      <c r="H21" s="451">
        <f t="shared" si="0"/>
        <v>65000</v>
      </c>
      <c r="I21" s="332">
        <f t="shared" si="0"/>
        <v>1040000</v>
      </c>
      <c r="J21" s="451">
        <f t="shared" si="0"/>
        <v>70000</v>
      </c>
      <c r="K21" s="332">
        <f t="shared" si="0"/>
        <v>1120000</v>
      </c>
      <c r="L21" s="451">
        <f t="shared" si="0"/>
        <v>75000</v>
      </c>
      <c r="M21" s="332">
        <f t="shared" si="0"/>
        <v>1200000</v>
      </c>
    </row>
    <row r="22" spans="1:16383" s="6" customFormat="1" ht="6" hidden="1" customHeight="1" x14ac:dyDescent="0.35">
      <c r="A22" s="2"/>
      <c r="B22" s="2"/>
      <c r="C22" s="452"/>
      <c r="D22" s="452"/>
      <c r="E22" s="2"/>
      <c r="F22" s="452"/>
      <c r="G22" s="452"/>
      <c r="H22" s="2"/>
      <c r="I22" s="2"/>
      <c r="J22" s="452"/>
      <c r="K22" s="452"/>
      <c r="L22" s="2"/>
      <c r="M22" s="2"/>
      <c r="N22" s="2"/>
      <c r="O22" s="2"/>
      <c r="P22" s="2"/>
      <c r="Q22" s="2"/>
      <c r="R22" s="2"/>
      <c r="S22" s="2"/>
      <c r="T22" s="2"/>
      <c r="U22" s="45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c r="ALU22" s="2"/>
      <c r="ALV22" s="2"/>
      <c r="ALW22" s="2"/>
      <c r="ALX22" s="2"/>
      <c r="ALY22" s="2"/>
      <c r="ALZ22" s="2"/>
      <c r="AMA22" s="2"/>
      <c r="AMB22" s="2"/>
      <c r="AMC22" s="2"/>
      <c r="AMD22" s="2"/>
      <c r="AME22" s="2"/>
      <c r="AMF22" s="2"/>
      <c r="AMG22" s="2"/>
      <c r="AMH22" s="2"/>
      <c r="AMI22" s="2"/>
      <c r="AMJ22" s="2"/>
      <c r="AMK22" s="2"/>
      <c r="AML22" s="2"/>
      <c r="AMM22" s="2"/>
      <c r="AMN22" s="2"/>
      <c r="AMO22" s="2"/>
      <c r="AMP22" s="2"/>
      <c r="AMQ22" s="2"/>
      <c r="AMR22" s="2"/>
      <c r="AMS22" s="2"/>
      <c r="AMT22" s="2"/>
      <c r="AMU22" s="2"/>
      <c r="AMV22" s="2"/>
      <c r="AMW22" s="2"/>
      <c r="AMX22" s="2"/>
      <c r="AMY22" s="2"/>
      <c r="AMZ22" s="2"/>
      <c r="ANA22" s="2"/>
      <c r="ANB22" s="2"/>
      <c r="ANC22" s="2"/>
      <c r="AND22" s="2"/>
      <c r="ANE22" s="2"/>
      <c r="ANF22" s="2"/>
      <c r="ANG22" s="2"/>
      <c r="ANH22" s="2"/>
      <c r="ANI22" s="2"/>
      <c r="ANJ22" s="2"/>
      <c r="ANK22" s="2"/>
      <c r="ANL22" s="2"/>
      <c r="ANM22" s="2"/>
      <c r="ANN22" s="2"/>
      <c r="ANO22" s="2"/>
      <c r="ANP22" s="2"/>
      <c r="ANQ22" s="2"/>
      <c r="ANR22" s="2"/>
      <c r="ANS22" s="2"/>
      <c r="ANT22" s="2"/>
      <c r="ANU22" s="2"/>
      <c r="ANV22" s="2"/>
      <c r="ANW22" s="2"/>
      <c r="ANX22" s="2"/>
      <c r="ANY22" s="2"/>
      <c r="ANZ22" s="2"/>
      <c r="AOA22" s="2"/>
      <c r="AOB22" s="2"/>
      <c r="AOC22" s="2"/>
      <c r="AOD22" s="2"/>
      <c r="AOE22" s="2"/>
      <c r="AOF22" s="2"/>
      <c r="AOG22" s="2"/>
      <c r="AOH22" s="2"/>
      <c r="AOI22" s="2"/>
      <c r="AOJ22" s="2"/>
      <c r="AOK22" s="2"/>
      <c r="AOL22" s="2"/>
      <c r="AOM22" s="2"/>
      <c r="AON22" s="2"/>
      <c r="AOO22" s="2"/>
      <c r="AOP22" s="2"/>
      <c r="AOQ22" s="2"/>
      <c r="AOR22" s="2"/>
      <c r="AOS22" s="2"/>
      <c r="AOT22" s="2"/>
      <c r="AOU22" s="2"/>
      <c r="AOV22" s="2"/>
      <c r="AOW22" s="2"/>
      <c r="AOX22" s="2"/>
      <c r="AOY22" s="2"/>
      <c r="AOZ22" s="2"/>
      <c r="APA22" s="2"/>
      <c r="APB22" s="2"/>
      <c r="APC22" s="2"/>
      <c r="APD22" s="2"/>
      <c r="APE22" s="2"/>
      <c r="APF22" s="2"/>
      <c r="APG22" s="2"/>
      <c r="APH22" s="2"/>
      <c r="API22" s="2"/>
      <c r="APJ22" s="2"/>
      <c r="APK22" s="2"/>
      <c r="APL22" s="2"/>
      <c r="APM22" s="2"/>
      <c r="APN22" s="2"/>
      <c r="APO22" s="2"/>
      <c r="APP22" s="2"/>
      <c r="APQ22" s="2"/>
      <c r="APR22" s="2"/>
      <c r="APS22" s="2"/>
      <c r="APT22" s="2"/>
      <c r="APU22" s="2"/>
      <c r="APV22" s="2"/>
      <c r="APW22" s="2"/>
      <c r="APX22" s="2"/>
      <c r="APY22" s="2"/>
      <c r="APZ22" s="2"/>
      <c r="AQA22" s="2"/>
      <c r="AQB22" s="2"/>
      <c r="AQC22" s="2"/>
      <c r="AQD22" s="2"/>
      <c r="AQE22" s="2"/>
      <c r="AQF22" s="2"/>
      <c r="AQG22" s="2"/>
      <c r="AQH22" s="2"/>
      <c r="AQI22" s="2"/>
      <c r="AQJ22" s="2"/>
      <c r="AQK22" s="2"/>
      <c r="AQL22" s="2"/>
      <c r="AQM22" s="2"/>
      <c r="AQN22" s="2"/>
      <c r="AQO22" s="2"/>
      <c r="AQP22" s="2"/>
      <c r="AQQ22" s="2"/>
      <c r="AQR22" s="2"/>
      <c r="AQS22" s="2"/>
      <c r="AQT22" s="2"/>
      <c r="AQU22" s="2"/>
      <c r="AQV22" s="2"/>
      <c r="AQW22" s="2"/>
      <c r="AQX22" s="2"/>
      <c r="AQY22" s="2"/>
      <c r="AQZ22" s="2"/>
      <c r="ARA22" s="2"/>
      <c r="ARB22" s="2"/>
      <c r="ARC22" s="2"/>
      <c r="ARD22" s="2"/>
      <c r="ARE22" s="2"/>
      <c r="ARF22" s="2"/>
      <c r="ARG22" s="2"/>
      <c r="ARH22" s="2"/>
      <c r="ARI22" s="2"/>
      <c r="ARJ22" s="2"/>
      <c r="ARK22" s="2"/>
      <c r="ARL22" s="2"/>
      <c r="ARM22" s="2"/>
      <c r="ARN22" s="2"/>
      <c r="ARO22" s="2"/>
      <c r="ARP22" s="2"/>
      <c r="ARQ22" s="2"/>
      <c r="ARR22" s="2"/>
      <c r="ARS22" s="2"/>
      <c r="ART22" s="2"/>
      <c r="ARU22" s="2"/>
      <c r="ARV22" s="2"/>
      <c r="ARW22" s="2"/>
      <c r="ARX22" s="2"/>
      <c r="ARY22" s="2"/>
      <c r="ARZ22" s="2"/>
      <c r="ASA22" s="2"/>
      <c r="ASB22" s="2"/>
      <c r="ASC22" s="2"/>
      <c r="ASD22" s="2"/>
      <c r="ASE22" s="2"/>
      <c r="ASF22" s="2"/>
      <c r="ASG22" s="2"/>
      <c r="ASH22" s="2"/>
      <c r="ASI22" s="2"/>
      <c r="ASJ22" s="2"/>
      <c r="ASK22" s="2"/>
      <c r="ASL22" s="2"/>
      <c r="ASM22" s="2"/>
      <c r="ASN22" s="2"/>
      <c r="ASO22" s="2"/>
      <c r="ASP22" s="2"/>
      <c r="ASQ22" s="2"/>
      <c r="ASR22" s="2"/>
      <c r="ASS22" s="2"/>
      <c r="AST22" s="2"/>
      <c r="ASU22" s="2"/>
      <c r="ASV22" s="2"/>
      <c r="ASW22" s="2"/>
      <c r="ASX22" s="2"/>
      <c r="ASY22" s="2"/>
      <c r="ASZ22" s="2"/>
      <c r="ATA22" s="2"/>
      <c r="ATB22" s="2"/>
      <c r="ATC22" s="2"/>
      <c r="ATD22" s="2"/>
      <c r="ATE22" s="2"/>
      <c r="ATF22" s="2"/>
      <c r="ATG22" s="2"/>
      <c r="ATH22" s="2"/>
      <c r="ATI22" s="2"/>
      <c r="ATJ22" s="2"/>
      <c r="ATK22" s="2"/>
      <c r="ATL22" s="2"/>
      <c r="ATM22" s="2"/>
      <c r="ATN22" s="2"/>
      <c r="ATO22" s="2"/>
      <c r="ATP22" s="2"/>
      <c r="ATQ22" s="2"/>
      <c r="ATR22" s="2"/>
      <c r="ATS22" s="2"/>
      <c r="ATT22" s="2"/>
      <c r="ATU22" s="2"/>
      <c r="ATV22" s="2"/>
      <c r="ATW22" s="2"/>
      <c r="ATX22" s="2"/>
      <c r="ATY22" s="2"/>
      <c r="ATZ22" s="2"/>
      <c r="AUA22" s="2"/>
      <c r="AUB22" s="2"/>
      <c r="AUC22" s="2"/>
      <c r="AUD22" s="2"/>
      <c r="AUE22" s="2"/>
      <c r="AUF22" s="2"/>
      <c r="AUG22" s="2"/>
      <c r="AUH22" s="2"/>
      <c r="AUI22" s="2"/>
      <c r="AUJ22" s="2"/>
      <c r="AUK22" s="2"/>
      <c r="AUL22" s="2"/>
      <c r="AUM22" s="2"/>
      <c r="AUN22" s="2"/>
      <c r="AUO22" s="2"/>
      <c r="AUP22" s="2"/>
      <c r="AUQ22" s="2"/>
      <c r="AUR22" s="2"/>
      <c r="AUS22" s="2"/>
      <c r="AUT22" s="2"/>
      <c r="AUU22" s="2"/>
      <c r="AUV22" s="2"/>
      <c r="AUW22" s="2"/>
      <c r="AUX22" s="2"/>
      <c r="AUY22" s="2"/>
      <c r="AUZ22" s="2"/>
      <c r="AVA22" s="2"/>
      <c r="AVB22" s="2"/>
      <c r="AVC22" s="2"/>
      <c r="AVD22" s="2"/>
      <c r="AVE22" s="2"/>
      <c r="AVF22" s="2"/>
      <c r="AVG22" s="2"/>
      <c r="AVH22" s="2"/>
      <c r="AVI22" s="2"/>
      <c r="AVJ22" s="2"/>
      <c r="AVK22" s="2"/>
      <c r="AVL22" s="2"/>
      <c r="AVM22" s="2"/>
      <c r="AVN22" s="2"/>
      <c r="AVO22" s="2"/>
      <c r="AVP22" s="2"/>
      <c r="AVQ22" s="2"/>
      <c r="AVR22" s="2"/>
      <c r="AVS22" s="2"/>
      <c r="AVT22" s="2"/>
      <c r="AVU22" s="2"/>
      <c r="AVV22" s="2"/>
      <c r="AVW22" s="2"/>
      <c r="AVX22" s="2"/>
      <c r="AVY22" s="2"/>
      <c r="AVZ22" s="2"/>
      <c r="AWA22" s="2"/>
      <c r="AWB22" s="2"/>
      <c r="AWC22" s="2"/>
      <c r="AWD22" s="2"/>
      <c r="AWE22" s="2"/>
      <c r="AWF22" s="2"/>
      <c r="AWG22" s="2"/>
      <c r="AWH22" s="2"/>
      <c r="AWI22" s="2"/>
      <c r="AWJ22" s="2"/>
      <c r="AWK22" s="2"/>
      <c r="AWL22" s="2"/>
      <c r="AWM22" s="2"/>
      <c r="AWN22" s="2"/>
      <c r="AWO22" s="2"/>
      <c r="AWP22" s="2"/>
      <c r="AWQ22" s="2"/>
      <c r="AWR22" s="2"/>
      <c r="AWS22" s="2"/>
      <c r="AWT22" s="2"/>
      <c r="AWU22" s="2"/>
      <c r="AWV22" s="2"/>
      <c r="AWW22" s="2"/>
      <c r="AWX22" s="2"/>
      <c r="AWY22" s="2"/>
      <c r="AWZ22" s="2"/>
      <c r="AXA22" s="2"/>
      <c r="AXB22" s="2"/>
      <c r="AXC22" s="2"/>
      <c r="AXD22" s="2"/>
      <c r="AXE22" s="2"/>
      <c r="AXF22" s="2"/>
      <c r="AXG22" s="2"/>
      <c r="AXH22" s="2"/>
      <c r="AXI22" s="2"/>
      <c r="AXJ22" s="2"/>
      <c r="AXK22" s="2"/>
      <c r="AXL22" s="2"/>
      <c r="AXM22" s="2"/>
      <c r="AXN22" s="2"/>
      <c r="AXO22" s="2"/>
      <c r="AXP22" s="2"/>
      <c r="AXQ22" s="2"/>
      <c r="AXR22" s="2"/>
      <c r="AXS22" s="2"/>
      <c r="AXT22" s="2"/>
      <c r="AXU22" s="2"/>
      <c r="AXV22" s="2"/>
      <c r="AXW22" s="2"/>
      <c r="AXX22" s="2"/>
      <c r="AXY22" s="2"/>
      <c r="AXZ22" s="2"/>
      <c r="AYA22" s="2"/>
      <c r="AYB22" s="2"/>
      <c r="AYC22" s="2"/>
      <c r="AYD22" s="2"/>
      <c r="AYE22" s="2"/>
      <c r="AYF22" s="2"/>
      <c r="AYG22" s="2"/>
      <c r="AYH22" s="2"/>
      <c r="AYI22" s="2"/>
      <c r="AYJ22" s="2"/>
      <c r="AYK22" s="2"/>
      <c r="AYL22" s="2"/>
      <c r="AYM22" s="2"/>
      <c r="AYN22" s="2"/>
      <c r="AYO22" s="2"/>
      <c r="AYP22" s="2"/>
      <c r="AYQ22" s="2"/>
      <c r="AYR22" s="2"/>
      <c r="AYS22" s="2"/>
      <c r="AYT22" s="2"/>
      <c r="AYU22" s="2"/>
      <c r="AYV22" s="2"/>
      <c r="AYW22" s="2"/>
      <c r="AYX22" s="2"/>
      <c r="AYY22" s="2"/>
      <c r="AYZ22" s="2"/>
      <c r="AZA22" s="2"/>
      <c r="AZB22" s="2"/>
      <c r="AZC22" s="2"/>
      <c r="AZD22" s="2"/>
      <c r="AZE22" s="2"/>
      <c r="AZF22" s="2"/>
      <c r="AZG22" s="2"/>
      <c r="AZH22" s="2"/>
      <c r="AZI22" s="2"/>
      <c r="AZJ22" s="2"/>
      <c r="AZK22" s="2"/>
      <c r="AZL22" s="2"/>
      <c r="AZM22" s="2"/>
      <c r="AZN22" s="2"/>
      <c r="AZO22" s="2"/>
      <c r="AZP22" s="2"/>
      <c r="AZQ22" s="2"/>
      <c r="AZR22" s="2"/>
      <c r="AZS22" s="2"/>
      <c r="AZT22" s="2"/>
      <c r="AZU22" s="2"/>
      <c r="AZV22" s="2"/>
      <c r="AZW22" s="2"/>
      <c r="AZX22" s="2"/>
      <c r="AZY22" s="2"/>
      <c r="AZZ22" s="2"/>
      <c r="BAA22" s="2"/>
      <c r="BAB22" s="2"/>
      <c r="BAC22" s="2"/>
      <c r="BAD22" s="2"/>
      <c r="BAE22" s="2"/>
      <c r="BAF22" s="2"/>
      <c r="BAG22" s="2"/>
      <c r="BAH22" s="2"/>
      <c r="BAI22" s="2"/>
      <c r="BAJ22" s="2"/>
      <c r="BAK22" s="2"/>
      <c r="BAL22" s="2"/>
      <c r="BAM22" s="2"/>
      <c r="BAN22" s="2"/>
      <c r="BAO22" s="2"/>
      <c r="BAP22" s="2"/>
      <c r="BAQ22" s="2"/>
      <c r="BAR22" s="2"/>
      <c r="BAS22" s="2"/>
      <c r="BAT22" s="2"/>
      <c r="BAU22" s="2"/>
      <c r="BAV22" s="2"/>
      <c r="BAW22" s="2"/>
      <c r="BAX22" s="2"/>
      <c r="BAY22" s="2"/>
      <c r="BAZ22" s="2"/>
      <c r="BBA22" s="2"/>
      <c r="BBB22" s="2"/>
      <c r="BBC22" s="2"/>
      <c r="BBD22" s="2"/>
      <c r="BBE22" s="2"/>
      <c r="BBF22" s="2"/>
      <c r="BBG22" s="2"/>
      <c r="BBH22" s="2"/>
      <c r="BBI22" s="2"/>
      <c r="BBJ22" s="2"/>
      <c r="BBK22" s="2"/>
      <c r="BBL22" s="2"/>
      <c r="BBM22" s="2"/>
      <c r="BBN22" s="2"/>
      <c r="BBO22" s="2"/>
      <c r="BBP22" s="2"/>
      <c r="BBQ22" s="2"/>
      <c r="BBR22" s="2"/>
      <c r="BBS22" s="2"/>
      <c r="BBT22" s="2"/>
      <c r="BBU22" s="2"/>
      <c r="BBV22" s="2"/>
      <c r="BBW22" s="2"/>
      <c r="BBX22" s="2"/>
      <c r="BBY22" s="2"/>
      <c r="BBZ22" s="2"/>
      <c r="BCA22" s="2"/>
      <c r="BCB22" s="2"/>
      <c r="BCC22" s="2"/>
      <c r="BCD22" s="2"/>
      <c r="BCE22" s="2"/>
      <c r="BCF22" s="2"/>
      <c r="BCG22" s="2"/>
      <c r="BCH22" s="2"/>
      <c r="BCI22" s="2"/>
      <c r="BCJ22" s="2"/>
      <c r="BCK22" s="2"/>
      <c r="BCL22" s="2"/>
      <c r="BCM22" s="2"/>
      <c r="BCN22" s="2"/>
      <c r="BCO22" s="2"/>
      <c r="BCP22" s="2"/>
      <c r="BCQ22" s="2"/>
      <c r="BCR22" s="2"/>
      <c r="BCS22" s="2"/>
      <c r="BCT22" s="2"/>
      <c r="BCU22" s="2"/>
      <c r="BCV22" s="2"/>
      <c r="BCW22" s="2"/>
      <c r="BCX22" s="2"/>
      <c r="BCY22" s="2"/>
      <c r="BCZ22" s="2"/>
      <c r="BDA22" s="2"/>
      <c r="BDB22" s="2"/>
      <c r="BDC22" s="2"/>
      <c r="BDD22" s="2"/>
      <c r="BDE22" s="2"/>
      <c r="BDF22" s="2"/>
      <c r="BDG22" s="2"/>
      <c r="BDH22" s="2"/>
      <c r="BDI22" s="2"/>
      <c r="BDJ22" s="2"/>
      <c r="BDK22" s="2"/>
      <c r="BDL22" s="2"/>
      <c r="BDM22" s="2"/>
      <c r="BDN22" s="2"/>
      <c r="BDO22" s="2"/>
      <c r="BDP22" s="2"/>
      <c r="BDQ22" s="2"/>
      <c r="BDR22" s="2"/>
      <c r="BDS22" s="2"/>
      <c r="BDT22" s="2"/>
      <c r="BDU22" s="2"/>
      <c r="BDV22" s="2"/>
      <c r="BDW22" s="2"/>
      <c r="BDX22" s="2"/>
      <c r="BDY22" s="2"/>
      <c r="BDZ22" s="2"/>
      <c r="BEA22" s="2"/>
      <c r="BEB22" s="2"/>
      <c r="BEC22" s="2"/>
      <c r="BED22" s="2"/>
      <c r="BEE22" s="2"/>
      <c r="BEF22" s="2"/>
      <c r="BEG22" s="2"/>
      <c r="BEH22" s="2"/>
      <c r="BEI22" s="2"/>
      <c r="BEJ22" s="2"/>
      <c r="BEK22" s="2"/>
      <c r="BEL22" s="2"/>
      <c r="BEM22" s="2"/>
      <c r="BEN22" s="2"/>
      <c r="BEO22" s="2"/>
      <c r="BEP22" s="2"/>
      <c r="BEQ22" s="2"/>
      <c r="BER22" s="2"/>
      <c r="BES22" s="2"/>
      <c r="BET22" s="2"/>
      <c r="BEU22" s="2"/>
      <c r="BEV22" s="2"/>
      <c r="BEW22" s="2"/>
      <c r="BEX22" s="2"/>
      <c r="BEY22" s="2"/>
      <c r="BEZ22" s="2"/>
      <c r="BFA22" s="2"/>
      <c r="BFB22" s="2"/>
      <c r="BFC22" s="2"/>
      <c r="BFD22" s="2"/>
      <c r="BFE22" s="2"/>
      <c r="BFF22" s="2"/>
      <c r="BFG22" s="2"/>
      <c r="BFH22" s="2"/>
      <c r="BFI22" s="2"/>
      <c r="BFJ22" s="2"/>
      <c r="BFK22" s="2"/>
      <c r="BFL22" s="2"/>
      <c r="BFM22" s="2"/>
      <c r="BFN22" s="2"/>
      <c r="BFO22" s="2"/>
      <c r="BFP22" s="2"/>
      <c r="BFQ22" s="2"/>
      <c r="BFR22" s="2"/>
      <c r="BFS22" s="2"/>
      <c r="BFT22" s="2"/>
      <c r="BFU22" s="2"/>
      <c r="BFV22" s="2"/>
      <c r="BFW22" s="2"/>
      <c r="BFX22" s="2"/>
      <c r="BFY22" s="2"/>
      <c r="BFZ22" s="2"/>
      <c r="BGA22" s="2"/>
      <c r="BGB22" s="2"/>
      <c r="BGC22" s="2"/>
      <c r="BGD22" s="2"/>
      <c r="BGE22" s="2"/>
      <c r="BGF22" s="2"/>
      <c r="BGG22" s="2"/>
      <c r="BGH22" s="2"/>
      <c r="BGI22" s="2"/>
      <c r="BGJ22" s="2"/>
      <c r="BGK22" s="2"/>
      <c r="BGL22" s="2"/>
      <c r="BGM22" s="2"/>
      <c r="BGN22" s="2"/>
      <c r="BGO22" s="2"/>
      <c r="BGP22" s="2"/>
      <c r="BGQ22" s="2"/>
      <c r="BGR22" s="2"/>
      <c r="BGS22" s="2"/>
      <c r="BGT22" s="2"/>
      <c r="BGU22" s="2"/>
      <c r="BGV22" s="2"/>
      <c r="BGW22" s="2"/>
      <c r="BGX22" s="2"/>
      <c r="BGY22" s="2"/>
      <c r="BGZ22" s="2"/>
      <c r="BHA22" s="2"/>
      <c r="BHB22" s="2"/>
      <c r="BHC22" s="2"/>
      <c r="BHD22" s="2"/>
      <c r="BHE22" s="2"/>
      <c r="BHF22" s="2"/>
      <c r="BHG22" s="2"/>
      <c r="BHH22" s="2"/>
      <c r="BHI22" s="2"/>
      <c r="BHJ22" s="2"/>
      <c r="BHK22" s="2"/>
      <c r="BHL22" s="2"/>
      <c r="BHM22" s="2"/>
      <c r="BHN22" s="2"/>
      <c r="BHO22" s="2"/>
      <c r="BHP22" s="2"/>
      <c r="BHQ22" s="2"/>
      <c r="BHR22" s="2"/>
      <c r="BHS22" s="2"/>
      <c r="BHT22" s="2"/>
      <c r="BHU22" s="2"/>
      <c r="BHV22" s="2"/>
      <c r="BHW22" s="2"/>
      <c r="BHX22" s="2"/>
      <c r="BHY22" s="2"/>
      <c r="BHZ22" s="2"/>
      <c r="BIA22" s="2"/>
      <c r="BIB22" s="2"/>
      <c r="BIC22" s="2"/>
      <c r="BID22" s="2"/>
      <c r="BIE22" s="2"/>
      <c r="BIF22" s="2"/>
      <c r="BIG22" s="2"/>
      <c r="BIH22" s="2"/>
      <c r="BII22" s="2"/>
      <c r="BIJ22" s="2"/>
      <c r="BIK22" s="2"/>
      <c r="BIL22" s="2"/>
      <c r="BIM22" s="2"/>
      <c r="BIN22" s="2"/>
      <c r="BIO22" s="2"/>
      <c r="BIP22" s="2"/>
      <c r="BIQ22" s="2"/>
      <c r="BIR22" s="2"/>
      <c r="BIS22" s="2"/>
      <c r="BIT22" s="2"/>
      <c r="BIU22" s="2"/>
      <c r="BIV22" s="2"/>
      <c r="BIW22" s="2"/>
      <c r="BIX22" s="2"/>
      <c r="BIY22" s="2"/>
      <c r="BIZ22" s="2"/>
      <c r="BJA22" s="2"/>
      <c r="BJB22" s="2"/>
      <c r="BJC22" s="2"/>
      <c r="BJD22" s="2"/>
      <c r="BJE22" s="2"/>
      <c r="BJF22" s="2"/>
      <c r="BJG22" s="2"/>
      <c r="BJH22" s="2"/>
      <c r="BJI22" s="2"/>
      <c r="BJJ22" s="2"/>
      <c r="BJK22" s="2"/>
      <c r="BJL22" s="2"/>
      <c r="BJM22" s="2"/>
      <c r="BJN22" s="2"/>
      <c r="BJO22" s="2"/>
      <c r="BJP22" s="2"/>
      <c r="BJQ22" s="2"/>
      <c r="BJR22" s="2"/>
      <c r="BJS22" s="2"/>
      <c r="BJT22" s="2"/>
      <c r="BJU22" s="2"/>
      <c r="BJV22" s="2"/>
      <c r="BJW22" s="2"/>
      <c r="BJX22" s="2"/>
      <c r="BJY22" s="2"/>
      <c r="BJZ22" s="2"/>
      <c r="BKA22" s="2"/>
      <c r="BKB22" s="2"/>
      <c r="BKC22" s="2"/>
      <c r="BKD22" s="2"/>
      <c r="BKE22" s="2"/>
      <c r="BKF22" s="2"/>
      <c r="BKG22" s="2"/>
      <c r="BKH22" s="2"/>
      <c r="BKI22" s="2"/>
      <c r="BKJ22" s="2"/>
      <c r="BKK22" s="2"/>
      <c r="BKL22" s="2"/>
      <c r="BKM22" s="2"/>
      <c r="BKN22" s="2"/>
      <c r="BKO22" s="2"/>
      <c r="BKP22" s="2"/>
      <c r="BKQ22" s="2"/>
      <c r="BKR22" s="2"/>
      <c r="BKS22" s="2"/>
      <c r="BKT22" s="2"/>
      <c r="BKU22" s="2"/>
      <c r="BKV22" s="2"/>
      <c r="BKW22" s="2"/>
      <c r="BKX22" s="2"/>
      <c r="BKY22" s="2"/>
      <c r="BKZ22" s="2"/>
      <c r="BLA22" s="2"/>
      <c r="BLB22" s="2"/>
      <c r="BLC22" s="2"/>
      <c r="BLD22" s="2"/>
      <c r="BLE22" s="2"/>
      <c r="BLF22" s="2"/>
      <c r="BLG22" s="2"/>
      <c r="BLH22" s="2"/>
      <c r="BLI22" s="2"/>
      <c r="BLJ22" s="2"/>
      <c r="BLK22" s="2"/>
      <c r="BLL22" s="2"/>
      <c r="BLM22" s="2"/>
      <c r="BLN22" s="2"/>
      <c r="BLO22" s="2"/>
      <c r="BLP22" s="2"/>
      <c r="BLQ22" s="2"/>
      <c r="BLR22" s="2"/>
      <c r="BLS22" s="2"/>
      <c r="BLT22" s="2"/>
      <c r="BLU22" s="2"/>
      <c r="BLV22" s="2"/>
      <c r="BLW22" s="2"/>
      <c r="BLX22" s="2"/>
      <c r="BLY22" s="2"/>
      <c r="BLZ22" s="2"/>
      <c r="BMA22" s="2"/>
      <c r="BMB22" s="2"/>
      <c r="BMC22" s="2"/>
      <c r="BMD22" s="2"/>
      <c r="BME22" s="2"/>
      <c r="BMF22" s="2"/>
      <c r="BMG22" s="2"/>
      <c r="BMH22" s="2"/>
      <c r="BMI22" s="2"/>
      <c r="BMJ22" s="2"/>
      <c r="BMK22" s="2"/>
      <c r="BML22" s="2"/>
      <c r="BMM22" s="2"/>
      <c r="BMN22" s="2"/>
      <c r="BMO22" s="2"/>
      <c r="BMP22" s="2"/>
      <c r="BMQ22" s="2"/>
      <c r="BMR22" s="2"/>
      <c r="BMS22" s="2"/>
      <c r="BMT22" s="2"/>
      <c r="BMU22" s="2"/>
      <c r="BMV22" s="2"/>
      <c r="BMW22" s="2"/>
      <c r="BMX22" s="2"/>
      <c r="BMY22" s="2"/>
      <c r="BMZ22" s="2"/>
      <c r="BNA22" s="2"/>
      <c r="BNB22" s="2"/>
      <c r="BNC22" s="2"/>
      <c r="BND22" s="2"/>
      <c r="BNE22" s="2"/>
      <c r="BNF22" s="2"/>
      <c r="BNG22" s="2"/>
      <c r="BNH22" s="2"/>
      <c r="BNI22" s="2"/>
      <c r="BNJ22" s="2"/>
      <c r="BNK22" s="2"/>
      <c r="BNL22" s="2"/>
      <c r="BNM22" s="2"/>
      <c r="BNN22" s="2"/>
      <c r="BNO22" s="2"/>
      <c r="BNP22" s="2"/>
      <c r="BNQ22" s="2"/>
      <c r="BNR22" s="2"/>
      <c r="BNS22" s="2"/>
      <c r="BNT22" s="2"/>
      <c r="BNU22" s="2"/>
      <c r="BNV22" s="2"/>
      <c r="BNW22" s="2"/>
      <c r="BNX22" s="2"/>
      <c r="BNY22" s="2"/>
      <c r="BNZ22" s="2"/>
      <c r="BOA22" s="2"/>
      <c r="BOB22" s="2"/>
      <c r="BOC22" s="2"/>
      <c r="BOD22" s="2"/>
      <c r="BOE22" s="2"/>
      <c r="BOF22" s="2"/>
      <c r="BOG22" s="2"/>
      <c r="BOH22" s="2"/>
      <c r="BOI22" s="2"/>
      <c r="BOJ22" s="2"/>
      <c r="BOK22" s="2"/>
      <c r="BOL22" s="2"/>
      <c r="BOM22" s="2"/>
      <c r="BON22" s="2"/>
      <c r="BOO22" s="2"/>
      <c r="BOP22" s="2"/>
      <c r="BOQ22" s="2"/>
      <c r="BOR22" s="2"/>
      <c r="BOS22" s="2"/>
      <c r="BOT22" s="2"/>
      <c r="BOU22" s="2"/>
      <c r="BOV22" s="2"/>
      <c r="BOW22" s="2"/>
      <c r="BOX22" s="2"/>
      <c r="BOY22" s="2"/>
      <c r="BOZ22" s="2"/>
      <c r="BPA22" s="2"/>
      <c r="BPB22" s="2"/>
      <c r="BPC22" s="2"/>
      <c r="BPD22" s="2"/>
      <c r="BPE22" s="2"/>
      <c r="BPF22" s="2"/>
      <c r="BPG22" s="2"/>
      <c r="BPH22" s="2"/>
      <c r="BPI22" s="2"/>
      <c r="BPJ22" s="2"/>
      <c r="BPK22" s="2"/>
      <c r="BPL22" s="2"/>
      <c r="BPM22" s="2"/>
      <c r="BPN22" s="2"/>
      <c r="BPO22" s="2"/>
      <c r="BPP22" s="2"/>
      <c r="BPQ22" s="2"/>
      <c r="BPR22" s="2"/>
      <c r="BPS22" s="2"/>
      <c r="BPT22" s="2"/>
      <c r="BPU22" s="2"/>
      <c r="BPV22" s="2"/>
      <c r="BPW22" s="2"/>
      <c r="BPX22" s="2"/>
      <c r="BPY22" s="2"/>
      <c r="BPZ22" s="2"/>
      <c r="BQA22" s="2"/>
      <c r="BQB22" s="2"/>
      <c r="BQC22" s="2"/>
      <c r="BQD22" s="2"/>
      <c r="BQE22" s="2"/>
      <c r="BQF22" s="2"/>
      <c r="BQG22" s="2"/>
      <c r="BQH22" s="2"/>
      <c r="BQI22" s="2"/>
      <c r="BQJ22" s="2"/>
      <c r="BQK22" s="2"/>
      <c r="BQL22" s="2"/>
      <c r="BQM22" s="2"/>
      <c r="BQN22" s="2"/>
      <c r="BQO22" s="2"/>
      <c r="BQP22" s="2"/>
      <c r="BQQ22" s="2"/>
      <c r="BQR22" s="2"/>
      <c r="BQS22" s="2"/>
      <c r="BQT22" s="2"/>
      <c r="BQU22" s="2"/>
      <c r="BQV22" s="2"/>
      <c r="BQW22" s="2"/>
      <c r="BQX22" s="2"/>
      <c r="BQY22" s="2"/>
      <c r="BQZ22" s="2"/>
      <c r="BRA22" s="2"/>
      <c r="BRB22" s="2"/>
      <c r="BRC22" s="2"/>
      <c r="BRD22" s="2"/>
      <c r="BRE22" s="2"/>
      <c r="BRF22" s="2"/>
      <c r="BRG22" s="2"/>
      <c r="BRH22" s="2"/>
      <c r="BRI22" s="2"/>
      <c r="BRJ22" s="2"/>
      <c r="BRK22" s="2"/>
      <c r="BRL22" s="2"/>
      <c r="BRM22" s="2"/>
      <c r="BRN22" s="2"/>
      <c r="BRO22" s="2"/>
      <c r="BRP22" s="2"/>
      <c r="BRQ22" s="2"/>
      <c r="BRR22" s="2"/>
      <c r="BRS22" s="2"/>
      <c r="BRT22" s="2"/>
      <c r="BRU22" s="2"/>
      <c r="BRV22" s="2"/>
      <c r="BRW22" s="2"/>
      <c r="BRX22" s="2"/>
      <c r="BRY22" s="2"/>
      <c r="BRZ22" s="2"/>
      <c r="BSA22" s="2"/>
      <c r="BSB22" s="2"/>
      <c r="BSC22" s="2"/>
      <c r="BSD22" s="2"/>
      <c r="BSE22" s="2"/>
      <c r="BSF22" s="2"/>
      <c r="BSG22" s="2"/>
      <c r="BSH22" s="2"/>
      <c r="BSI22" s="2"/>
      <c r="BSJ22" s="2"/>
      <c r="BSK22" s="2"/>
      <c r="BSL22" s="2"/>
      <c r="BSM22" s="2"/>
      <c r="BSN22" s="2"/>
      <c r="BSO22" s="2"/>
      <c r="BSP22" s="2"/>
      <c r="BSQ22" s="2"/>
      <c r="BSR22" s="2"/>
      <c r="BSS22" s="2"/>
      <c r="BST22" s="2"/>
      <c r="BSU22" s="2"/>
      <c r="BSV22" s="2"/>
      <c r="BSW22" s="2"/>
      <c r="BSX22" s="2"/>
      <c r="BSY22" s="2"/>
      <c r="BSZ22" s="2"/>
      <c r="BTA22" s="2"/>
      <c r="BTB22" s="2"/>
      <c r="BTC22" s="2"/>
      <c r="BTD22" s="2"/>
      <c r="BTE22" s="2"/>
      <c r="BTF22" s="2"/>
      <c r="BTG22" s="2"/>
      <c r="BTH22" s="2"/>
      <c r="BTI22" s="2"/>
      <c r="BTJ22" s="2"/>
      <c r="BTK22" s="2"/>
      <c r="BTL22" s="2"/>
      <c r="BTM22" s="2"/>
      <c r="BTN22" s="2"/>
      <c r="BTO22" s="2"/>
      <c r="BTP22" s="2"/>
      <c r="BTQ22" s="2"/>
      <c r="BTR22" s="2"/>
      <c r="BTS22" s="2"/>
      <c r="BTT22" s="2"/>
      <c r="BTU22" s="2"/>
      <c r="BTV22" s="2"/>
      <c r="BTW22" s="2"/>
      <c r="BTX22" s="2"/>
      <c r="BTY22" s="2"/>
      <c r="BTZ22" s="2"/>
      <c r="BUA22" s="2"/>
      <c r="BUB22" s="2"/>
      <c r="BUC22" s="2"/>
      <c r="BUD22" s="2"/>
      <c r="BUE22" s="2"/>
      <c r="BUF22" s="2"/>
      <c r="BUG22" s="2"/>
      <c r="BUH22" s="2"/>
      <c r="BUI22" s="2"/>
      <c r="BUJ22" s="2"/>
      <c r="BUK22" s="2"/>
      <c r="BUL22" s="2"/>
      <c r="BUM22" s="2"/>
      <c r="BUN22" s="2"/>
      <c r="BUO22" s="2"/>
      <c r="BUP22" s="2"/>
      <c r="BUQ22" s="2"/>
      <c r="BUR22" s="2"/>
      <c r="BUS22" s="2"/>
      <c r="BUT22" s="2"/>
      <c r="BUU22" s="2"/>
      <c r="BUV22" s="2"/>
      <c r="BUW22" s="2"/>
      <c r="BUX22" s="2"/>
      <c r="BUY22" s="2"/>
      <c r="BUZ22" s="2"/>
      <c r="BVA22" s="2"/>
      <c r="BVB22" s="2"/>
      <c r="BVC22" s="2"/>
      <c r="BVD22" s="2"/>
      <c r="BVE22" s="2"/>
      <c r="BVF22" s="2"/>
      <c r="BVG22" s="2"/>
      <c r="BVH22" s="2"/>
      <c r="BVI22" s="2"/>
      <c r="BVJ22" s="2"/>
      <c r="BVK22" s="2"/>
      <c r="BVL22" s="2"/>
      <c r="BVM22" s="2"/>
      <c r="BVN22" s="2"/>
      <c r="BVO22" s="2"/>
      <c r="BVP22" s="2"/>
      <c r="BVQ22" s="2"/>
      <c r="BVR22" s="2"/>
      <c r="BVS22" s="2"/>
      <c r="BVT22" s="2"/>
      <c r="BVU22" s="2"/>
      <c r="BVV22" s="2"/>
      <c r="BVW22" s="2"/>
      <c r="BVX22" s="2"/>
      <c r="BVY22" s="2"/>
      <c r="BVZ22" s="2"/>
      <c r="BWA22" s="2"/>
      <c r="BWB22" s="2"/>
      <c r="BWC22" s="2"/>
      <c r="BWD22" s="2"/>
      <c r="BWE22" s="2"/>
      <c r="BWF22" s="2"/>
      <c r="BWG22" s="2"/>
      <c r="BWH22" s="2"/>
      <c r="BWI22" s="2"/>
      <c r="BWJ22" s="2"/>
      <c r="BWK22" s="2"/>
      <c r="BWL22" s="2"/>
      <c r="BWM22" s="2"/>
      <c r="BWN22" s="2"/>
      <c r="BWO22" s="2"/>
      <c r="BWP22" s="2"/>
      <c r="BWQ22" s="2"/>
      <c r="BWR22" s="2"/>
      <c r="BWS22" s="2"/>
      <c r="BWT22" s="2"/>
      <c r="BWU22" s="2"/>
      <c r="BWV22" s="2"/>
      <c r="BWW22" s="2"/>
      <c r="BWX22" s="2"/>
      <c r="BWY22" s="2"/>
      <c r="BWZ22" s="2"/>
      <c r="BXA22" s="2"/>
      <c r="BXB22" s="2"/>
      <c r="BXC22" s="2"/>
      <c r="BXD22" s="2"/>
      <c r="BXE22" s="2"/>
      <c r="BXF22" s="2"/>
      <c r="BXG22" s="2"/>
      <c r="BXH22" s="2"/>
      <c r="BXI22" s="2"/>
      <c r="BXJ22" s="2"/>
      <c r="BXK22" s="2"/>
      <c r="BXL22" s="2"/>
      <c r="BXM22" s="2"/>
      <c r="BXN22" s="2"/>
      <c r="BXO22" s="2"/>
      <c r="BXP22" s="2"/>
      <c r="BXQ22" s="2"/>
      <c r="BXR22" s="2"/>
      <c r="BXS22" s="2"/>
      <c r="BXT22" s="2"/>
      <c r="BXU22" s="2"/>
      <c r="BXV22" s="2"/>
      <c r="BXW22" s="2"/>
      <c r="BXX22" s="2"/>
      <c r="BXY22" s="2"/>
      <c r="BXZ22" s="2"/>
      <c r="BYA22" s="2"/>
      <c r="BYB22" s="2"/>
      <c r="BYC22" s="2"/>
      <c r="BYD22" s="2"/>
      <c r="BYE22" s="2"/>
      <c r="BYF22" s="2"/>
      <c r="BYG22" s="2"/>
      <c r="BYH22" s="2"/>
      <c r="BYI22" s="2"/>
      <c r="BYJ22" s="2"/>
      <c r="BYK22" s="2"/>
      <c r="BYL22" s="2"/>
      <c r="BYM22" s="2"/>
      <c r="BYN22" s="2"/>
      <c r="BYO22" s="2"/>
      <c r="BYP22" s="2"/>
      <c r="BYQ22" s="2"/>
      <c r="BYR22" s="2"/>
      <c r="BYS22" s="2"/>
      <c r="BYT22" s="2"/>
      <c r="BYU22" s="2"/>
      <c r="BYV22" s="2"/>
      <c r="BYW22" s="2"/>
      <c r="BYX22" s="2"/>
      <c r="BYY22" s="2"/>
      <c r="BYZ22" s="2"/>
      <c r="BZA22" s="2"/>
      <c r="BZB22" s="2"/>
      <c r="BZC22" s="2"/>
      <c r="BZD22" s="2"/>
      <c r="BZE22" s="2"/>
      <c r="BZF22" s="2"/>
      <c r="BZG22" s="2"/>
      <c r="BZH22" s="2"/>
      <c r="BZI22" s="2"/>
      <c r="BZJ22" s="2"/>
      <c r="BZK22" s="2"/>
      <c r="BZL22" s="2"/>
      <c r="BZM22" s="2"/>
      <c r="BZN22" s="2"/>
      <c r="BZO22" s="2"/>
      <c r="BZP22" s="2"/>
      <c r="BZQ22" s="2"/>
      <c r="BZR22" s="2"/>
      <c r="BZS22" s="2"/>
      <c r="BZT22" s="2"/>
      <c r="BZU22" s="2"/>
      <c r="BZV22" s="2"/>
      <c r="BZW22" s="2"/>
      <c r="BZX22" s="2"/>
      <c r="BZY22" s="2"/>
      <c r="BZZ22" s="2"/>
      <c r="CAA22" s="2"/>
      <c r="CAB22" s="2"/>
      <c r="CAC22" s="2"/>
      <c r="CAD22" s="2"/>
      <c r="CAE22" s="2"/>
      <c r="CAF22" s="2"/>
      <c r="CAG22" s="2"/>
      <c r="CAH22" s="2"/>
      <c r="CAI22" s="2"/>
      <c r="CAJ22" s="2"/>
      <c r="CAK22" s="2"/>
      <c r="CAL22" s="2"/>
      <c r="CAM22" s="2"/>
      <c r="CAN22" s="2"/>
      <c r="CAO22" s="2"/>
      <c r="CAP22" s="2"/>
      <c r="CAQ22" s="2"/>
      <c r="CAR22" s="2"/>
      <c r="CAS22" s="2"/>
      <c r="CAT22" s="2"/>
      <c r="CAU22" s="2"/>
      <c r="CAV22" s="2"/>
      <c r="CAW22" s="2"/>
      <c r="CAX22" s="2"/>
      <c r="CAY22" s="2"/>
      <c r="CAZ22" s="2"/>
      <c r="CBA22" s="2"/>
      <c r="CBB22" s="2"/>
      <c r="CBC22" s="2"/>
      <c r="CBD22" s="2"/>
      <c r="CBE22" s="2"/>
      <c r="CBF22" s="2"/>
      <c r="CBG22" s="2"/>
      <c r="CBH22" s="2"/>
      <c r="CBI22" s="2"/>
      <c r="CBJ22" s="2"/>
      <c r="CBK22" s="2"/>
      <c r="CBL22" s="2"/>
      <c r="CBM22" s="2"/>
      <c r="CBN22" s="2"/>
      <c r="CBO22" s="2"/>
      <c r="CBP22" s="2"/>
      <c r="CBQ22" s="2"/>
      <c r="CBR22" s="2"/>
      <c r="CBS22" s="2"/>
      <c r="CBT22" s="2"/>
      <c r="CBU22" s="2"/>
      <c r="CBV22" s="2"/>
      <c r="CBW22" s="2"/>
      <c r="CBX22" s="2"/>
      <c r="CBY22" s="2"/>
      <c r="CBZ22" s="2"/>
      <c r="CCA22" s="2"/>
      <c r="CCB22" s="2"/>
      <c r="CCC22" s="2"/>
      <c r="CCD22" s="2"/>
      <c r="CCE22" s="2"/>
      <c r="CCF22" s="2"/>
      <c r="CCG22" s="2"/>
      <c r="CCH22" s="2"/>
      <c r="CCI22" s="2"/>
      <c r="CCJ22" s="2"/>
      <c r="CCK22" s="2"/>
      <c r="CCL22" s="2"/>
      <c r="CCM22" s="2"/>
      <c r="CCN22" s="2"/>
      <c r="CCO22" s="2"/>
      <c r="CCP22" s="2"/>
      <c r="CCQ22" s="2"/>
      <c r="CCR22" s="2"/>
      <c r="CCS22" s="2"/>
      <c r="CCT22" s="2"/>
      <c r="CCU22" s="2"/>
      <c r="CCV22" s="2"/>
      <c r="CCW22" s="2"/>
      <c r="CCX22" s="2"/>
      <c r="CCY22" s="2"/>
      <c r="CCZ22" s="2"/>
      <c r="CDA22" s="2"/>
      <c r="CDB22" s="2"/>
      <c r="CDC22" s="2"/>
      <c r="CDD22" s="2"/>
      <c r="CDE22" s="2"/>
      <c r="CDF22" s="2"/>
      <c r="CDG22" s="2"/>
      <c r="CDH22" s="2"/>
      <c r="CDI22" s="2"/>
      <c r="CDJ22" s="2"/>
      <c r="CDK22" s="2"/>
      <c r="CDL22" s="2"/>
      <c r="CDM22" s="2"/>
      <c r="CDN22" s="2"/>
      <c r="CDO22" s="2"/>
      <c r="CDP22" s="2"/>
      <c r="CDQ22" s="2"/>
      <c r="CDR22" s="2"/>
      <c r="CDS22" s="2"/>
      <c r="CDT22" s="2"/>
      <c r="CDU22" s="2"/>
      <c r="CDV22" s="2"/>
      <c r="CDW22" s="2"/>
      <c r="CDX22" s="2"/>
      <c r="CDY22" s="2"/>
      <c r="CDZ22" s="2"/>
      <c r="CEA22" s="2"/>
      <c r="CEB22" s="2"/>
      <c r="CEC22" s="2"/>
      <c r="CED22" s="2"/>
      <c r="CEE22" s="2"/>
      <c r="CEF22" s="2"/>
      <c r="CEG22" s="2"/>
      <c r="CEH22" s="2"/>
      <c r="CEI22" s="2"/>
      <c r="CEJ22" s="2"/>
      <c r="CEK22" s="2"/>
      <c r="CEL22" s="2"/>
      <c r="CEM22" s="2"/>
      <c r="CEN22" s="2"/>
      <c r="CEO22" s="2"/>
      <c r="CEP22" s="2"/>
      <c r="CEQ22" s="2"/>
      <c r="CER22" s="2"/>
      <c r="CES22" s="2"/>
      <c r="CET22" s="2"/>
      <c r="CEU22" s="2"/>
      <c r="CEV22" s="2"/>
      <c r="CEW22" s="2"/>
      <c r="CEX22" s="2"/>
      <c r="CEY22" s="2"/>
      <c r="CEZ22" s="2"/>
      <c r="CFA22" s="2"/>
      <c r="CFB22" s="2"/>
      <c r="CFC22" s="2"/>
      <c r="CFD22" s="2"/>
      <c r="CFE22" s="2"/>
      <c r="CFF22" s="2"/>
      <c r="CFG22" s="2"/>
      <c r="CFH22" s="2"/>
      <c r="CFI22" s="2"/>
      <c r="CFJ22" s="2"/>
      <c r="CFK22" s="2"/>
      <c r="CFL22" s="2"/>
      <c r="CFM22" s="2"/>
      <c r="CFN22" s="2"/>
      <c r="CFO22" s="2"/>
      <c r="CFP22" s="2"/>
      <c r="CFQ22" s="2"/>
      <c r="CFR22" s="2"/>
      <c r="CFS22" s="2"/>
      <c r="CFT22" s="2"/>
      <c r="CFU22" s="2"/>
      <c r="CFV22" s="2"/>
      <c r="CFW22" s="2"/>
      <c r="CFX22" s="2"/>
      <c r="CFY22" s="2"/>
      <c r="CFZ22" s="2"/>
      <c r="CGA22" s="2"/>
      <c r="CGB22" s="2"/>
      <c r="CGC22" s="2"/>
      <c r="CGD22" s="2"/>
      <c r="CGE22" s="2"/>
      <c r="CGF22" s="2"/>
      <c r="CGG22" s="2"/>
      <c r="CGH22" s="2"/>
      <c r="CGI22" s="2"/>
      <c r="CGJ22" s="2"/>
      <c r="CGK22" s="2"/>
      <c r="CGL22" s="2"/>
      <c r="CGM22" s="2"/>
      <c r="CGN22" s="2"/>
      <c r="CGO22" s="2"/>
      <c r="CGP22" s="2"/>
      <c r="CGQ22" s="2"/>
      <c r="CGR22" s="2"/>
      <c r="CGS22" s="2"/>
      <c r="CGT22" s="2"/>
      <c r="CGU22" s="2"/>
      <c r="CGV22" s="2"/>
      <c r="CGW22" s="2"/>
      <c r="CGX22" s="2"/>
      <c r="CGY22" s="2"/>
      <c r="CGZ22" s="2"/>
      <c r="CHA22" s="2"/>
      <c r="CHB22" s="2"/>
      <c r="CHC22" s="2"/>
      <c r="CHD22" s="2"/>
      <c r="CHE22" s="2"/>
      <c r="CHF22" s="2"/>
      <c r="CHG22" s="2"/>
      <c r="CHH22" s="2"/>
      <c r="CHI22" s="2"/>
      <c r="CHJ22" s="2"/>
      <c r="CHK22" s="2"/>
      <c r="CHL22" s="2"/>
      <c r="CHM22" s="2"/>
      <c r="CHN22" s="2"/>
      <c r="CHO22" s="2"/>
      <c r="CHP22" s="2"/>
      <c r="CHQ22" s="2"/>
      <c r="CHR22" s="2"/>
      <c r="CHS22" s="2"/>
      <c r="CHT22" s="2"/>
      <c r="CHU22" s="2"/>
      <c r="CHV22" s="2"/>
      <c r="CHW22" s="2"/>
      <c r="CHX22" s="2"/>
      <c r="CHY22" s="2"/>
      <c r="CHZ22" s="2"/>
      <c r="CIA22" s="2"/>
      <c r="CIB22" s="2"/>
      <c r="CIC22" s="2"/>
      <c r="CID22" s="2"/>
      <c r="CIE22" s="2"/>
      <c r="CIF22" s="2"/>
      <c r="CIG22" s="2"/>
      <c r="CIH22" s="2"/>
      <c r="CII22" s="2"/>
      <c r="CIJ22" s="2"/>
      <c r="CIK22" s="2"/>
      <c r="CIL22" s="2"/>
      <c r="CIM22" s="2"/>
      <c r="CIN22" s="2"/>
      <c r="CIO22" s="2"/>
      <c r="CIP22" s="2"/>
      <c r="CIQ22" s="2"/>
      <c r="CIR22" s="2"/>
      <c r="CIS22" s="2"/>
      <c r="CIT22" s="2"/>
      <c r="CIU22" s="2"/>
      <c r="CIV22" s="2"/>
      <c r="CIW22" s="2"/>
      <c r="CIX22" s="2"/>
      <c r="CIY22" s="2"/>
      <c r="CIZ22" s="2"/>
      <c r="CJA22" s="2"/>
      <c r="CJB22" s="2"/>
      <c r="CJC22" s="2"/>
      <c r="CJD22" s="2"/>
      <c r="CJE22" s="2"/>
      <c r="CJF22" s="2"/>
      <c r="CJG22" s="2"/>
      <c r="CJH22" s="2"/>
      <c r="CJI22" s="2"/>
      <c r="CJJ22" s="2"/>
      <c r="CJK22" s="2"/>
      <c r="CJL22" s="2"/>
      <c r="CJM22" s="2"/>
      <c r="CJN22" s="2"/>
      <c r="CJO22" s="2"/>
      <c r="CJP22" s="2"/>
      <c r="CJQ22" s="2"/>
      <c r="CJR22" s="2"/>
      <c r="CJS22" s="2"/>
      <c r="CJT22" s="2"/>
      <c r="CJU22" s="2"/>
      <c r="CJV22" s="2"/>
      <c r="CJW22" s="2"/>
      <c r="CJX22" s="2"/>
      <c r="CJY22" s="2"/>
      <c r="CJZ22" s="2"/>
      <c r="CKA22" s="2"/>
      <c r="CKB22" s="2"/>
      <c r="CKC22" s="2"/>
      <c r="CKD22" s="2"/>
      <c r="CKE22" s="2"/>
      <c r="CKF22" s="2"/>
      <c r="CKG22" s="2"/>
      <c r="CKH22" s="2"/>
      <c r="CKI22" s="2"/>
      <c r="CKJ22" s="2"/>
      <c r="CKK22" s="2"/>
      <c r="CKL22" s="2"/>
      <c r="CKM22" s="2"/>
      <c r="CKN22" s="2"/>
      <c r="CKO22" s="2"/>
      <c r="CKP22" s="2"/>
      <c r="CKQ22" s="2"/>
      <c r="CKR22" s="2"/>
      <c r="CKS22" s="2"/>
      <c r="CKT22" s="2"/>
      <c r="CKU22" s="2"/>
      <c r="CKV22" s="2"/>
      <c r="CKW22" s="2"/>
      <c r="CKX22" s="2"/>
      <c r="CKY22" s="2"/>
      <c r="CKZ22" s="2"/>
      <c r="CLA22" s="2"/>
      <c r="CLB22" s="2"/>
      <c r="CLC22" s="2"/>
      <c r="CLD22" s="2"/>
      <c r="CLE22" s="2"/>
      <c r="CLF22" s="2"/>
      <c r="CLG22" s="2"/>
      <c r="CLH22" s="2"/>
      <c r="CLI22" s="2"/>
      <c r="CLJ22" s="2"/>
      <c r="CLK22" s="2"/>
      <c r="CLL22" s="2"/>
      <c r="CLM22" s="2"/>
      <c r="CLN22" s="2"/>
      <c r="CLO22" s="2"/>
      <c r="CLP22" s="2"/>
      <c r="CLQ22" s="2"/>
      <c r="CLR22" s="2"/>
      <c r="CLS22" s="2"/>
      <c r="CLT22" s="2"/>
      <c r="CLU22" s="2"/>
      <c r="CLV22" s="2"/>
      <c r="CLW22" s="2"/>
      <c r="CLX22" s="2"/>
      <c r="CLY22" s="2"/>
      <c r="CLZ22" s="2"/>
      <c r="CMA22" s="2"/>
      <c r="CMB22" s="2"/>
      <c r="CMC22" s="2"/>
      <c r="CMD22" s="2"/>
      <c r="CME22" s="2"/>
      <c r="CMF22" s="2"/>
      <c r="CMG22" s="2"/>
      <c r="CMH22" s="2"/>
      <c r="CMI22" s="2"/>
      <c r="CMJ22" s="2"/>
      <c r="CMK22" s="2"/>
      <c r="CML22" s="2"/>
      <c r="CMM22" s="2"/>
      <c r="CMN22" s="2"/>
      <c r="CMO22" s="2"/>
      <c r="CMP22" s="2"/>
      <c r="CMQ22" s="2"/>
      <c r="CMR22" s="2"/>
      <c r="CMS22" s="2"/>
      <c r="CMT22" s="2"/>
      <c r="CMU22" s="2"/>
      <c r="CMV22" s="2"/>
      <c r="CMW22" s="2"/>
      <c r="CMX22" s="2"/>
      <c r="CMY22" s="2"/>
      <c r="CMZ22" s="2"/>
      <c r="CNA22" s="2"/>
      <c r="CNB22" s="2"/>
      <c r="CNC22" s="2"/>
      <c r="CND22" s="2"/>
      <c r="CNE22" s="2"/>
      <c r="CNF22" s="2"/>
      <c r="CNG22" s="2"/>
      <c r="CNH22" s="2"/>
      <c r="CNI22" s="2"/>
      <c r="CNJ22" s="2"/>
      <c r="CNK22" s="2"/>
      <c r="CNL22" s="2"/>
      <c r="CNM22" s="2"/>
      <c r="CNN22" s="2"/>
      <c r="CNO22" s="2"/>
      <c r="CNP22" s="2"/>
      <c r="CNQ22" s="2"/>
      <c r="CNR22" s="2"/>
      <c r="CNS22" s="2"/>
      <c r="CNT22" s="2"/>
      <c r="CNU22" s="2"/>
      <c r="CNV22" s="2"/>
      <c r="CNW22" s="2"/>
      <c r="CNX22" s="2"/>
      <c r="CNY22" s="2"/>
      <c r="CNZ22" s="2"/>
      <c r="COA22" s="2"/>
      <c r="COB22" s="2"/>
      <c r="COC22" s="2"/>
      <c r="COD22" s="2"/>
      <c r="COE22" s="2"/>
      <c r="COF22" s="2"/>
      <c r="COG22" s="2"/>
      <c r="COH22" s="2"/>
      <c r="COI22" s="2"/>
      <c r="COJ22" s="2"/>
      <c r="COK22" s="2"/>
      <c r="COL22" s="2"/>
      <c r="COM22" s="2"/>
      <c r="CON22" s="2"/>
      <c r="COO22" s="2"/>
      <c r="COP22" s="2"/>
      <c r="COQ22" s="2"/>
      <c r="COR22" s="2"/>
      <c r="COS22" s="2"/>
      <c r="COT22" s="2"/>
      <c r="COU22" s="2"/>
      <c r="COV22" s="2"/>
      <c r="COW22" s="2"/>
      <c r="COX22" s="2"/>
      <c r="COY22" s="2"/>
      <c r="COZ22" s="2"/>
      <c r="CPA22" s="2"/>
      <c r="CPB22" s="2"/>
      <c r="CPC22" s="2"/>
      <c r="CPD22" s="2"/>
      <c r="CPE22" s="2"/>
      <c r="CPF22" s="2"/>
      <c r="CPG22" s="2"/>
      <c r="CPH22" s="2"/>
      <c r="CPI22" s="2"/>
      <c r="CPJ22" s="2"/>
      <c r="CPK22" s="2"/>
      <c r="CPL22" s="2"/>
      <c r="CPM22" s="2"/>
      <c r="CPN22" s="2"/>
      <c r="CPO22" s="2"/>
      <c r="CPP22" s="2"/>
      <c r="CPQ22" s="2"/>
      <c r="CPR22" s="2"/>
      <c r="CPS22" s="2"/>
      <c r="CPT22" s="2"/>
      <c r="CPU22" s="2"/>
      <c r="CPV22" s="2"/>
      <c r="CPW22" s="2"/>
      <c r="CPX22" s="2"/>
      <c r="CPY22" s="2"/>
      <c r="CPZ22" s="2"/>
      <c r="CQA22" s="2"/>
      <c r="CQB22" s="2"/>
      <c r="CQC22" s="2"/>
      <c r="CQD22" s="2"/>
      <c r="CQE22" s="2"/>
      <c r="CQF22" s="2"/>
      <c r="CQG22" s="2"/>
      <c r="CQH22" s="2"/>
      <c r="CQI22" s="2"/>
      <c r="CQJ22" s="2"/>
      <c r="CQK22" s="2"/>
      <c r="CQL22" s="2"/>
      <c r="CQM22" s="2"/>
      <c r="CQN22" s="2"/>
      <c r="CQO22" s="2"/>
      <c r="CQP22" s="2"/>
      <c r="CQQ22" s="2"/>
      <c r="CQR22" s="2"/>
      <c r="CQS22" s="2"/>
      <c r="CQT22" s="2"/>
      <c r="CQU22" s="2"/>
      <c r="CQV22" s="2"/>
      <c r="CQW22" s="2"/>
      <c r="CQX22" s="2"/>
      <c r="CQY22" s="2"/>
      <c r="CQZ22" s="2"/>
      <c r="CRA22" s="2"/>
      <c r="CRB22" s="2"/>
      <c r="CRC22" s="2"/>
      <c r="CRD22" s="2"/>
      <c r="CRE22" s="2"/>
      <c r="CRF22" s="2"/>
      <c r="CRG22" s="2"/>
      <c r="CRH22" s="2"/>
      <c r="CRI22" s="2"/>
      <c r="CRJ22" s="2"/>
      <c r="CRK22" s="2"/>
      <c r="CRL22" s="2"/>
      <c r="CRM22" s="2"/>
      <c r="CRN22" s="2"/>
      <c r="CRO22" s="2"/>
      <c r="CRP22" s="2"/>
      <c r="CRQ22" s="2"/>
      <c r="CRR22" s="2"/>
      <c r="CRS22" s="2"/>
      <c r="CRT22" s="2"/>
      <c r="CRU22" s="2"/>
      <c r="CRV22" s="2"/>
      <c r="CRW22" s="2"/>
      <c r="CRX22" s="2"/>
      <c r="CRY22" s="2"/>
      <c r="CRZ22" s="2"/>
      <c r="CSA22" s="2"/>
      <c r="CSB22" s="2"/>
      <c r="CSC22" s="2"/>
      <c r="CSD22" s="2"/>
      <c r="CSE22" s="2"/>
      <c r="CSF22" s="2"/>
      <c r="CSG22" s="2"/>
      <c r="CSH22" s="2"/>
      <c r="CSI22" s="2"/>
      <c r="CSJ22" s="2"/>
      <c r="CSK22" s="2"/>
      <c r="CSL22" s="2"/>
      <c r="CSM22" s="2"/>
      <c r="CSN22" s="2"/>
      <c r="CSO22" s="2"/>
      <c r="CSP22" s="2"/>
      <c r="CSQ22" s="2"/>
      <c r="CSR22" s="2"/>
      <c r="CSS22" s="2"/>
      <c r="CST22" s="2"/>
      <c r="CSU22" s="2"/>
      <c r="CSV22" s="2"/>
      <c r="CSW22" s="2"/>
      <c r="CSX22" s="2"/>
      <c r="CSY22" s="2"/>
      <c r="CSZ22" s="2"/>
      <c r="CTA22" s="2"/>
      <c r="CTB22" s="2"/>
      <c r="CTC22" s="2"/>
      <c r="CTD22" s="2"/>
      <c r="CTE22" s="2"/>
      <c r="CTF22" s="2"/>
      <c r="CTG22" s="2"/>
      <c r="CTH22" s="2"/>
      <c r="CTI22" s="2"/>
      <c r="CTJ22" s="2"/>
      <c r="CTK22" s="2"/>
      <c r="CTL22" s="2"/>
      <c r="CTM22" s="2"/>
      <c r="CTN22" s="2"/>
      <c r="CTO22" s="2"/>
      <c r="CTP22" s="2"/>
      <c r="CTQ22" s="2"/>
      <c r="CTR22" s="2"/>
      <c r="CTS22" s="2"/>
      <c r="CTT22" s="2"/>
      <c r="CTU22" s="2"/>
      <c r="CTV22" s="2"/>
      <c r="CTW22" s="2"/>
      <c r="CTX22" s="2"/>
      <c r="CTY22" s="2"/>
      <c r="CTZ22" s="2"/>
      <c r="CUA22" s="2"/>
      <c r="CUB22" s="2"/>
      <c r="CUC22" s="2"/>
      <c r="CUD22" s="2"/>
      <c r="CUE22" s="2"/>
      <c r="CUF22" s="2"/>
      <c r="CUG22" s="2"/>
      <c r="CUH22" s="2"/>
      <c r="CUI22" s="2"/>
      <c r="CUJ22" s="2"/>
      <c r="CUK22" s="2"/>
      <c r="CUL22" s="2"/>
      <c r="CUM22" s="2"/>
      <c r="CUN22" s="2"/>
      <c r="CUO22" s="2"/>
      <c r="CUP22" s="2"/>
      <c r="CUQ22" s="2"/>
      <c r="CUR22" s="2"/>
      <c r="CUS22" s="2"/>
      <c r="CUT22" s="2"/>
      <c r="CUU22" s="2"/>
      <c r="CUV22" s="2"/>
      <c r="CUW22" s="2"/>
      <c r="CUX22" s="2"/>
      <c r="CUY22" s="2"/>
      <c r="CUZ22" s="2"/>
      <c r="CVA22" s="2"/>
      <c r="CVB22" s="2"/>
      <c r="CVC22" s="2"/>
      <c r="CVD22" s="2"/>
      <c r="CVE22" s="2"/>
      <c r="CVF22" s="2"/>
      <c r="CVG22" s="2"/>
      <c r="CVH22" s="2"/>
      <c r="CVI22" s="2"/>
      <c r="CVJ22" s="2"/>
      <c r="CVK22" s="2"/>
      <c r="CVL22" s="2"/>
      <c r="CVM22" s="2"/>
      <c r="CVN22" s="2"/>
      <c r="CVO22" s="2"/>
      <c r="CVP22" s="2"/>
      <c r="CVQ22" s="2"/>
      <c r="CVR22" s="2"/>
      <c r="CVS22" s="2"/>
      <c r="CVT22" s="2"/>
      <c r="CVU22" s="2"/>
      <c r="CVV22" s="2"/>
      <c r="CVW22" s="2"/>
      <c r="CVX22" s="2"/>
      <c r="CVY22" s="2"/>
      <c r="CVZ22" s="2"/>
      <c r="CWA22" s="2"/>
      <c r="CWB22" s="2"/>
      <c r="CWC22" s="2"/>
      <c r="CWD22" s="2"/>
      <c r="CWE22" s="2"/>
      <c r="CWF22" s="2"/>
      <c r="CWG22" s="2"/>
      <c r="CWH22" s="2"/>
      <c r="CWI22" s="2"/>
      <c r="CWJ22" s="2"/>
      <c r="CWK22" s="2"/>
      <c r="CWL22" s="2"/>
      <c r="CWM22" s="2"/>
      <c r="CWN22" s="2"/>
      <c r="CWO22" s="2"/>
      <c r="CWP22" s="2"/>
      <c r="CWQ22" s="2"/>
      <c r="CWR22" s="2"/>
      <c r="CWS22" s="2"/>
      <c r="CWT22" s="2"/>
      <c r="CWU22" s="2"/>
      <c r="CWV22" s="2"/>
      <c r="CWW22" s="2"/>
      <c r="CWX22" s="2"/>
      <c r="CWY22" s="2"/>
      <c r="CWZ22" s="2"/>
      <c r="CXA22" s="2"/>
      <c r="CXB22" s="2"/>
      <c r="CXC22" s="2"/>
      <c r="CXD22" s="2"/>
      <c r="CXE22" s="2"/>
      <c r="CXF22" s="2"/>
      <c r="CXG22" s="2"/>
      <c r="CXH22" s="2"/>
      <c r="CXI22" s="2"/>
      <c r="CXJ22" s="2"/>
      <c r="CXK22" s="2"/>
      <c r="CXL22" s="2"/>
      <c r="CXM22" s="2"/>
      <c r="CXN22" s="2"/>
      <c r="CXO22" s="2"/>
      <c r="CXP22" s="2"/>
      <c r="CXQ22" s="2"/>
      <c r="CXR22" s="2"/>
      <c r="CXS22" s="2"/>
      <c r="CXT22" s="2"/>
      <c r="CXU22" s="2"/>
      <c r="CXV22" s="2"/>
      <c r="CXW22" s="2"/>
      <c r="CXX22" s="2"/>
      <c r="CXY22" s="2"/>
      <c r="CXZ22" s="2"/>
      <c r="CYA22" s="2"/>
      <c r="CYB22" s="2"/>
      <c r="CYC22" s="2"/>
      <c r="CYD22" s="2"/>
      <c r="CYE22" s="2"/>
      <c r="CYF22" s="2"/>
      <c r="CYG22" s="2"/>
      <c r="CYH22" s="2"/>
      <c r="CYI22" s="2"/>
      <c r="CYJ22" s="2"/>
      <c r="CYK22" s="2"/>
      <c r="CYL22" s="2"/>
      <c r="CYM22" s="2"/>
      <c r="CYN22" s="2"/>
      <c r="CYO22" s="2"/>
      <c r="CYP22" s="2"/>
      <c r="CYQ22" s="2"/>
      <c r="CYR22" s="2"/>
      <c r="CYS22" s="2"/>
      <c r="CYT22" s="2"/>
      <c r="CYU22" s="2"/>
      <c r="CYV22" s="2"/>
      <c r="CYW22" s="2"/>
      <c r="CYX22" s="2"/>
      <c r="CYY22" s="2"/>
      <c r="CYZ22" s="2"/>
      <c r="CZA22" s="2"/>
      <c r="CZB22" s="2"/>
      <c r="CZC22" s="2"/>
      <c r="CZD22" s="2"/>
      <c r="CZE22" s="2"/>
      <c r="CZF22" s="2"/>
      <c r="CZG22" s="2"/>
      <c r="CZH22" s="2"/>
      <c r="CZI22" s="2"/>
      <c r="CZJ22" s="2"/>
      <c r="CZK22" s="2"/>
      <c r="CZL22" s="2"/>
      <c r="CZM22" s="2"/>
      <c r="CZN22" s="2"/>
      <c r="CZO22" s="2"/>
      <c r="CZP22" s="2"/>
      <c r="CZQ22" s="2"/>
      <c r="CZR22" s="2"/>
      <c r="CZS22" s="2"/>
      <c r="CZT22" s="2"/>
      <c r="CZU22" s="2"/>
      <c r="CZV22" s="2"/>
      <c r="CZW22" s="2"/>
      <c r="CZX22" s="2"/>
      <c r="CZY22" s="2"/>
      <c r="CZZ22" s="2"/>
      <c r="DAA22" s="2"/>
      <c r="DAB22" s="2"/>
      <c r="DAC22" s="2"/>
      <c r="DAD22" s="2"/>
      <c r="DAE22" s="2"/>
      <c r="DAF22" s="2"/>
      <c r="DAG22" s="2"/>
      <c r="DAH22" s="2"/>
      <c r="DAI22" s="2"/>
      <c r="DAJ22" s="2"/>
      <c r="DAK22" s="2"/>
      <c r="DAL22" s="2"/>
      <c r="DAM22" s="2"/>
      <c r="DAN22" s="2"/>
      <c r="DAO22" s="2"/>
      <c r="DAP22" s="2"/>
      <c r="DAQ22" s="2"/>
      <c r="DAR22" s="2"/>
      <c r="DAS22" s="2"/>
      <c r="DAT22" s="2"/>
      <c r="DAU22" s="2"/>
      <c r="DAV22" s="2"/>
      <c r="DAW22" s="2"/>
      <c r="DAX22" s="2"/>
      <c r="DAY22" s="2"/>
      <c r="DAZ22" s="2"/>
      <c r="DBA22" s="2"/>
      <c r="DBB22" s="2"/>
      <c r="DBC22" s="2"/>
      <c r="DBD22" s="2"/>
      <c r="DBE22" s="2"/>
      <c r="DBF22" s="2"/>
      <c r="DBG22" s="2"/>
      <c r="DBH22" s="2"/>
      <c r="DBI22" s="2"/>
      <c r="DBJ22" s="2"/>
      <c r="DBK22" s="2"/>
      <c r="DBL22" s="2"/>
      <c r="DBM22" s="2"/>
      <c r="DBN22" s="2"/>
      <c r="DBO22" s="2"/>
      <c r="DBP22" s="2"/>
      <c r="DBQ22" s="2"/>
      <c r="DBR22" s="2"/>
      <c r="DBS22" s="2"/>
      <c r="DBT22" s="2"/>
      <c r="DBU22" s="2"/>
      <c r="DBV22" s="2"/>
      <c r="DBW22" s="2"/>
      <c r="DBX22" s="2"/>
      <c r="DBY22" s="2"/>
      <c r="DBZ22" s="2"/>
      <c r="DCA22" s="2"/>
      <c r="DCB22" s="2"/>
      <c r="DCC22" s="2"/>
      <c r="DCD22" s="2"/>
      <c r="DCE22" s="2"/>
      <c r="DCF22" s="2"/>
      <c r="DCG22" s="2"/>
      <c r="DCH22" s="2"/>
      <c r="DCI22" s="2"/>
      <c r="DCJ22" s="2"/>
      <c r="DCK22" s="2"/>
      <c r="DCL22" s="2"/>
      <c r="DCM22" s="2"/>
      <c r="DCN22" s="2"/>
      <c r="DCO22" s="2"/>
      <c r="DCP22" s="2"/>
      <c r="DCQ22" s="2"/>
      <c r="DCR22" s="2"/>
      <c r="DCS22" s="2"/>
      <c r="DCT22" s="2"/>
      <c r="DCU22" s="2"/>
      <c r="DCV22" s="2"/>
      <c r="DCW22" s="2"/>
      <c r="DCX22" s="2"/>
      <c r="DCY22" s="2"/>
      <c r="DCZ22" s="2"/>
      <c r="DDA22" s="2"/>
      <c r="DDB22" s="2"/>
      <c r="DDC22" s="2"/>
      <c r="DDD22" s="2"/>
      <c r="DDE22" s="2"/>
      <c r="DDF22" s="2"/>
      <c r="DDG22" s="2"/>
      <c r="DDH22" s="2"/>
      <c r="DDI22" s="2"/>
      <c r="DDJ22" s="2"/>
      <c r="DDK22" s="2"/>
      <c r="DDL22" s="2"/>
      <c r="DDM22" s="2"/>
      <c r="DDN22" s="2"/>
      <c r="DDO22" s="2"/>
      <c r="DDP22" s="2"/>
      <c r="DDQ22" s="2"/>
      <c r="DDR22" s="2"/>
      <c r="DDS22" s="2"/>
      <c r="DDT22" s="2"/>
      <c r="DDU22" s="2"/>
      <c r="DDV22" s="2"/>
      <c r="DDW22" s="2"/>
      <c r="DDX22" s="2"/>
      <c r="DDY22" s="2"/>
      <c r="DDZ22" s="2"/>
      <c r="DEA22" s="2"/>
      <c r="DEB22" s="2"/>
      <c r="DEC22" s="2"/>
      <c r="DED22" s="2"/>
      <c r="DEE22" s="2"/>
      <c r="DEF22" s="2"/>
      <c r="DEG22" s="2"/>
      <c r="DEH22" s="2"/>
      <c r="DEI22" s="2"/>
      <c r="DEJ22" s="2"/>
      <c r="DEK22" s="2"/>
      <c r="DEL22" s="2"/>
      <c r="DEM22" s="2"/>
      <c r="DEN22" s="2"/>
      <c r="DEO22" s="2"/>
      <c r="DEP22" s="2"/>
      <c r="DEQ22" s="2"/>
      <c r="DER22" s="2"/>
      <c r="DES22" s="2"/>
      <c r="DET22" s="2"/>
      <c r="DEU22" s="2"/>
      <c r="DEV22" s="2"/>
      <c r="DEW22" s="2"/>
      <c r="DEX22" s="2"/>
      <c r="DEY22" s="2"/>
      <c r="DEZ22" s="2"/>
      <c r="DFA22" s="2"/>
      <c r="DFB22" s="2"/>
      <c r="DFC22" s="2"/>
      <c r="DFD22" s="2"/>
      <c r="DFE22" s="2"/>
      <c r="DFF22" s="2"/>
      <c r="DFG22" s="2"/>
      <c r="DFH22" s="2"/>
      <c r="DFI22" s="2"/>
      <c r="DFJ22" s="2"/>
      <c r="DFK22" s="2"/>
      <c r="DFL22" s="2"/>
      <c r="DFM22" s="2"/>
      <c r="DFN22" s="2"/>
      <c r="DFO22" s="2"/>
      <c r="DFP22" s="2"/>
      <c r="DFQ22" s="2"/>
      <c r="DFR22" s="2"/>
      <c r="DFS22" s="2"/>
      <c r="DFT22" s="2"/>
      <c r="DFU22" s="2"/>
      <c r="DFV22" s="2"/>
      <c r="DFW22" s="2"/>
      <c r="DFX22" s="2"/>
      <c r="DFY22" s="2"/>
      <c r="DFZ22" s="2"/>
      <c r="DGA22" s="2"/>
      <c r="DGB22" s="2"/>
      <c r="DGC22" s="2"/>
      <c r="DGD22" s="2"/>
      <c r="DGE22" s="2"/>
      <c r="DGF22" s="2"/>
      <c r="DGG22" s="2"/>
      <c r="DGH22" s="2"/>
      <c r="DGI22" s="2"/>
      <c r="DGJ22" s="2"/>
      <c r="DGK22" s="2"/>
      <c r="DGL22" s="2"/>
      <c r="DGM22" s="2"/>
      <c r="DGN22" s="2"/>
      <c r="DGO22" s="2"/>
      <c r="DGP22" s="2"/>
      <c r="DGQ22" s="2"/>
      <c r="DGR22" s="2"/>
      <c r="DGS22" s="2"/>
      <c r="DGT22" s="2"/>
      <c r="DGU22" s="2"/>
      <c r="DGV22" s="2"/>
      <c r="DGW22" s="2"/>
      <c r="DGX22" s="2"/>
      <c r="DGY22" s="2"/>
      <c r="DGZ22" s="2"/>
      <c r="DHA22" s="2"/>
      <c r="DHB22" s="2"/>
      <c r="DHC22" s="2"/>
      <c r="DHD22" s="2"/>
      <c r="DHE22" s="2"/>
      <c r="DHF22" s="2"/>
      <c r="DHG22" s="2"/>
      <c r="DHH22" s="2"/>
      <c r="DHI22" s="2"/>
      <c r="DHJ22" s="2"/>
      <c r="DHK22" s="2"/>
      <c r="DHL22" s="2"/>
      <c r="DHM22" s="2"/>
      <c r="DHN22" s="2"/>
      <c r="DHO22" s="2"/>
      <c r="DHP22" s="2"/>
      <c r="DHQ22" s="2"/>
      <c r="DHR22" s="2"/>
      <c r="DHS22" s="2"/>
      <c r="DHT22" s="2"/>
      <c r="DHU22" s="2"/>
      <c r="DHV22" s="2"/>
      <c r="DHW22" s="2"/>
      <c r="DHX22" s="2"/>
      <c r="DHY22" s="2"/>
      <c r="DHZ22" s="2"/>
      <c r="DIA22" s="2"/>
      <c r="DIB22" s="2"/>
      <c r="DIC22" s="2"/>
      <c r="DID22" s="2"/>
      <c r="DIE22" s="2"/>
      <c r="DIF22" s="2"/>
      <c r="DIG22" s="2"/>
      <c r="DIH22" s="2"/>
      <c r="DII22" s="2"/>
      <c r="DIJ22" s="2"/>
      <c r="DIK22" s="2"/>
      <c r="DIL22" s="2"/>
      <c r="DIM22" s="2"/>
      <c r="DIN22" s="2"/>
      <c r="DIO22" s="2"/>
      <c r="DIP22" s="2"/>
      <c r="DIQ22" s="2"/>
      <c r="DIR22" s="2"/>
      <c r="DIS22" s="2"/>
      <c r="DIT22" s="2"/>
      <c r="DIU22" s="2"/>
      <c r="DIV22" s="2"/>
      <c r="DIW22" s="2"/>
      <c r="DIX22" s="2"/>
      <c r="DIY22" s="2"/>
      <c r="DIZ22" s="2"/>
      <c r="DJA22" s="2"/>
      <c r="DJB22" s="2"/>
      <c r="DJC22" s="2"/>
      <c r="DJD22" s="2"/>
      <c r="DJE22" s="2"/>
      <c r="DJF22" s="2"/>
      <c r="DJG22" s="2"/>
      <c r="DJH22" s="2"/>
      <c r="DJI22" s="2"/>
      <c r="DJJ22" s="2"/>
      <c r="DJK22" s="2"/>
      <c r="DJL22" s="2"/>
      <c r="DJM22" s="2"/>
      <c r="DJN22" s="2"/>
      <c r="DJO22" s="2"/>
      <c r="DJP22" s="2"/>
      <c r="DJQ22" s="2"/>
      <c r="DJR22" s="2"/>
      <c r="DJS22" s="2"/>
      <c r="DJT22" s="2"/>
      <c r="DJU22" s="2"/>
      <c r="DJV22" s="2"/>
      <c r="DJW22" s="2"/>
      <c r="DJX22" s="2"/>
      <c r="DJY22" s="2"/>
      <c r="DJZ22" s="2"/>
      <c r="DKA22" s="2"/>
      <c r="DKB22" s="2"/>
      <c r="DKC22" s="2"/>
      <c r="DKD22" s="2"/>
      <c r="DKE22" s="2"/>
      <c r="DKF22" s="2"/>
      <c r="DKG22" s="2"/>
      <c r="DKH22" s="2"/>
      <c r="DKI22" s="2"/>
      <c r="DKJ22" s="2"/>
      <c r="DKK22" s="2"/>
      <c r="DKL22" s="2"/>
      <c r="DKM22" s="2"/>
      <c r="DKN22" s="2"/>
      <c r="DKO22" s="2"/>
      <c r="DKP22" s="2"/>
      <c r="DKQ22" s="2"/>
      <c r="DKR22" s="2"/>
      <c r="DKS22" s="2"/>
      <c r="DKT22" s="2"/>
      <c r="DKU22" s="2"/>
      <c r="DKV22" s="2"/>
      <c r="DKW22" s="2"/>
      <c r="DKX22" s="2"/>
      <c r="DKY22" s="2"/>
      <c r="DKZ22" s="2"/>
      <c r="DLA22" s="2"/>
      <c r="DLB22" s="2"/>
      <c r="DLC22" s="2"/>
      <c r="DLD22" s="2"/>
      <c r="DLE22" s="2"/>
      <c r="DLF22" s="2"/>
      <c r="DLG22" s="2"/>
      <c r="DLH22" s="2"/>
      <c r="DLI22" s="2"/>
      <c r="DLJ22" s="2"/>
      <c r="DLK22" s="2"/>
      <c r="DLL22" s="2"/>
      <c r="DLM22" s="2"/>
      <c r="DLN22" s="2"/>
      <c r="DLO22" s="2"/>
      <c r="DLP22" s="2"/>
      <c r="DLQ22" s="2"/>
      <c r="DLR22" s="2"/>
      <c r="DLS22" s="2"/>
      <c r="DLT22" s="2"/>
      <c r="DLU22" s="2"/>
      <c r="DLV22" s="2"/>
      <c r="DLW22" s="2"/>
      <c r="DLX22" s="2"/>
      <c r="DLY22" s="2"/>
      <c r="DLZ22" s="2"/>
      <c r="DMA22" s="2"/>
      <c r="DMB22" s="2"/>
      <c r="DMC22" s="2"/>
      <c r="DMD22" s="2"/>
      <c r="DME22" s="2"/>
      <c r="DMF22" s="2"/>
      <c r="DMG22" s="2"/>
      <c r="DMH22" s="2"/>
      <c r="DMI22" s="2"/>
      <c r="DMJ22" s="2"/>
      <c r="DMK22" s="2"/>
      <c r="DML22" s="2"/>
      <c r="DMM22" s="2"/>
      <c r="DMN22" s="2"/>
      <c r="DMO22" s="2"/>
      <c r="DMP22" s="2"/>
      <c r="DMQ22" s="2"/>
      <c r="DMR22" s="2"/>
      <c r="DMS22" s="2"/>
      <c r="DMT22" s="2"/>
      <c r="DMU22" s="2"/>
      <c r="DMV22" s="2"/>
      <c r="DMW22" s="2"/>
      <c r="DMX22" s="2"/>
      <c r="DMY22" s="2"/>
      <c r="DMZ22" s="2"/>
      <c r="DNA22" s="2"/>
      <c r="DNB22" s="2"/>
      <c r="DNC22" s="2"/>
      <c r="DND22" s="2"/>
      <c r="DNE22" s="2"/>
      <c r="DNF22" s="2"/>
      <c r="DNG22" s="2"/>
      <c r="DNH22" s="2"/>
      <c r="DNI22" s="2"/>
      <c r="DNJ22" s="2"/>
      <c r="DNK22" s="2"/>
      <c r="DNL22" s="2"/>
      <c r="DNM22" s="2"/>
      <c r="DNN22" s="2"/>
      <c r="DNO22" s="2"/>
      <c r="DNP22" s="2"/>
      <c r="DNQ22" s="2"/>
      <c r="DNR22" s="2"/>
      <c r="DNS22" s="2"/>
      <c r="DNT22" s="2"/>
      <c r="DNU22" s="2"/>
      <c r="DNV22" s="2"/>
      <c r="DNW22" s="2"/>
      <c r="DNX22" s="2"/>
      <c r="DNY22" s="2"/>
      <c r="DNZ22" s="2"/>
      <c r="DOA22" s="2"/>
      <c r="DOB22" s="2"/>
      <c r="DOC22" s="2"/>
      <c r="DOD22" s="2"/>
      <c r="DOE22" s="2"/>
      <c r="DOF22" s="2"/>
      <c r="DOG22" s="2"/>
      <c r="DOH22" s="2"/>
      <c r="DOI22" s="2"/>
      <c r="DOJ22" s="2"/>
      <c r="DOK22" s="2"/>
      <c r="DOL22" s="2"/>
      <c r="DOM22" s="2"/>
      <c r="DON22" s="2"/>
      <c r="DOO22" s="2"/>
      <c r="DOP22" s="2"/>
      <c r="DOQ22" s="2"/>
      <c r="DOR22" s="2"/>
      <c r="DOS22" s="2"/>
      <c r="DOT22" s="2"/>
      <c r="DOU22" s="2"/>
      <c r="DOV22" s="2"/>
      <c r="DOW22" s="2"/>
      <c r="DOX22" s="2"/>
      <c r="DOY22" s="2"/>
      <c r="DOZ22" s="2"/>
      <c r="DPA22" s="2"/>
      <c r="DPB22" s="2"/>
      <c r="DPC22" s="2"/>
      <c r="DPD22" s="2"/>
      <c r="DPE22" s="2"/>
      <c r="DPF22" s="2"/>
      <c r="DPG22" s="2"/>
      <c r="DPH22" s="2"/>
      <c r="DPI22" s="2"/>
      <c r="DPJ22" s="2"/>
      <c r="DPK22" s="2"/>
      <c r="DPL22" s="2"/>
      <c r="DPM22" s="2"/>
      <c r="DPN22" s="2"/>
      <c r="DPO22" s="2"/>
      <c r="DPP22" s="2"/>
      <c r="DPQ22" s="2"/>
      <c r="DPR22" s="2"/>
      <c r="DPS22" s="2"/>
      <c r="DPT22" s="2"/>
      <c r="DPU22" s="2"/>
      <c r="DPV22" s="2"/>
      <c r="DPW22" s="2"/>
      <c r="DPX22" s="2"/>
      <c r="DPY22" s="2"/>
      <c r="DPZ22" s="2"/>
      <c r="DQA22" s="2"/>
      <c r="DQB22" s="2"/>
      <c r="DQC22" s="2"/>
      <c r="DQD22" s="2"/>
      <c r="DQE22" s="2"/>
      <c r="DQF22" s="2"/>
      <c r="DQG22" s="2"/>
      <c r="DQH22" s="2"/>
      <c r="DQI22" s="2"/>
      <c r="DQJ22" s="2"/>
      <c r="DQK22" s="2"/>
      <c r="DQL22" s="2"/>
      <c r="DQM22" s="2"/>
      <c r="DQN22" s="2"/>
      <c r="DQO22" s="2"/>
      <c r="DQP22" s="2"/>
      <c r="DQQ22" s="2"/>
      <c r="DQR22" s="2"/>
      <c r="DQS22" s="2"/>
      <c r="DQT22" s="2"/>
      <c r="DQU22" s="2"/>
      <c r="DQV22" s="2"/>
      <c r="DQW22" s="2"/>
      <c r="DQX22" s="2"/>
      <c r="DQY22" s="2"/>
      <c r="DQZ22" s="2"/>
      <c r="DRA22" s="2"/>
      <c r="DRB22" s="2"/>
      <c r="DRC22" s="2"/>
      <c r="DRD22" s="2"/>
      <c r="DRE22" s="2"/>
      <c r="DRF22" s="2"/>
      <c r="DRG22" s="2"/>
      <c r="DRH22" s="2"/>
      <c r="DRI22" s="2"/>
      <c r="DRJ22" s="2"/>
      <c r="DRK22" s="2"/>
      <c r="DRL22" s="2"/>
      <c r="DRM22" s="2"/>
      <c r="DRN22" s="2"/>
      <c r="DRO22" s="2"/>
      <c r="DRP22" s="2"/>
      <c r="DRQ22" s="2"/>
      <c r="DRR22" s="2"/>
      <c r="DRS22" s="2"/>
      <c r="DRT22" s="2"/>
      <c r="DRU22" s="2"/>
      <c r="DRV22" s="2"/>
      <c r="DRW22" s="2"/>
      <c r="DRX22" s="2"/>
      <c r="DRY22" s="2"/>
      <c r="DRZ22" s="2"/>
      <c r="DSA22" s="2"/>
      <c r="DSB22" s="2"/>
      <c r="DSC22" s="2"/>
      <c r="DSD22" s="2"/>
      <c r="DSE22" s="2"/>
      <c r="DSF22" s="2"/>
      <c r="DSG22" s="2"/>
      <c r="DSH22" s="2"/>
      <c r="DSI22" s="2"/>
      <c r="DSJ22" s="2"/>
      <c r="DSK22" s="2"/>
      <c r="DSL22" s="2"/>
      <c r="DSM22" s="2"/>
      <c r="DSN22" s="2"/>
      <c r="DSO22" s="2"/>
      <c r="DSP22" s="2"/>
      <c r="DSQ22" s="2"/>
      <c r="DSR22" s="2"/>
      <c r="DSS22" s="2"/>
      <c r="DST22" s="2"/>
      <c r="DSU22" s="2"/>
      <c r="DSV22" s="2"/>
      <c r="DSW22" s="2"/>
      <c r="DSX22" s="2"/>
      <c r="DSY22" s="2"/>
      <c r="DSZ22" s="2"/>
      <c r="DTA22" s="2"/>
      <c r="DTB22" s="2"/>
      <c r="DTC22" s="2"/>
      <c r="DTD22" s="2"/>
      <c r="DTE22" s="2"/>
      <c r="DTF22" s="2"/>
      <c r="DTG22" s="2"/>
      <c r="DTH22" s="2"/>
      <c r="DTI22" s="2"/>
      <c r="DTJ22" s="2"/>
      <c r="DTK22" s="2"/>
      <c r="DTL22" s="2"/>
      <c r="DTM22" s="2"/>
      <c r="DTN22" s="2"/>
      <c r="DTO22" s="2"/>
      <c r="DTP22" s="2"/>
      <c r="DTQ22" s="2"/>
      <c r="DTR22" s="2"/>
      <c r="DTS22" s="2"/>
      <c r="DTT22" s="2"/>
      <c r="DTU22" s="2"/>
      <c r="DTV22" s="2"/>
      <c r="DTW22" s="2"/>
      <c r="DTX22" s="2"/>
      <c r="DTY22" s="2"/>
      <c r="DTZ22" s="2"/>
      <c r="DUA22" s="2"/>
      <c r="DUB22" s="2"/>
      <c r="DUC22" s="2"/>
      <c r="DUD22" s="2"/>
      <c r="DUE22" s="2"/>
      <c r="DUF22" s="2"/>
      <c r="DUG22" s="2"/>
      <c r="DUH22" s="2"/>
      <c r="DUI22" s="2"/>
      <c r="DUJ22" s="2"/>
      <c r="DUK22" s="2"/>
      <c r="DUL22" s="2"/>
      <c r="DUM22" s="2"/>
      <c r="DUN22" s="2"/>
      <c r="DUO22" s="2"/>
      <c r="DUP22" s="2"/>
      <c r="DUQ22" s="2"/>
      <c r="DUR22" s="2"/>
      <c r="DUS22" s="2"/>
      <c r="DUT22" s="2"/>
      <c r="DUU22" s="2"/>
      <c r="DUV22" s="2"/>
      <c r="DUW22" s="2"/>
      <c r="DUX22" s="2"/>
      <c r="DUY22" s="2"/>
      <c r="DUZ22" s="2"/>
      <c r="DVA22" s="2"/>
      <c r="DVB22" s="2"/>
      <c r="DVC22" s="2"/>
      <c r="DVD22" s="2"/>
      <c r="DVE22" s="2"/>
      <c r="DVF22" s="2"/>
      <c r="DVG22" s="2"/>
      <c r="DVH22" s="2"/>
      <c r="DVI22" s="2"/>
      <c r="DVJ22" s="2"/>
      <c r="DVK22" s="2"/>
      <c r="DVL22" s="2"/>
      <c r="DVM22" s="2"/>
      <c r="DVN22" s="2"/>
      <c r="DVO22" s="2"/>
      <c r="DVP22" s="2"/>
      <c r="DVQ22" s="2"/>
      <c r="DVR22" s="2"/>
      <c r="DVS22" s="2"/>
      <c r="DVT22" s="2"/>
      <c r="DVU22" s="2"/>
      <c r="DVV22" s="2"/>
      <c r="DVW22" s="2"/>
      <c r="DVX22" s="2"/>
      <c r="DVY22" s="2"/>
      <c r="DVZ22" s="2"/>
      <c r="DWA22" s="2"/>
      <c r="DWB22" s="2"/>
      <c r="DWC22" s="2"/>
      <c r="DWD22" s="2"/>
      <c r="DWE22" s="2"/>
      <c r="DWF22" s="2"/>
      <c r="DWG22" s="2"/>
      <c r="DWH22" s="2"/>
      <c r="DWI22" s="2"/>
      <c r="DWJ22" s="2"/>
      <c r="DWK22" s="2"/>
      <c r="DWL22" s="2"/>
      <c r="DWM22" s="2"/>
      <c r="DWN22" s="2"/>
      <c r="DWO22" s="2"/>
      <c r="DWP22" s="2"/>
      <c r="DWQ22" s="2"/>
      <c r="DWR22" s="2"/>
      <c r="DWS22" s="2"/>
      <c r="DWT22" s="2"/>
      <c r="DWU22" s="2"/>
      <c r="DWV22" s="2"/>
      <c r="DWW22" s="2"/>
      <c r="DWX22" s="2"/>
      <c r="DWY22" s="2"/>
      <c r="DWZ22" s="2"/>
      <c r="DXA22" s="2"/>
      <c r="DXB22" s="2"/>
      <c r="DXC22" s="2"/>
      <c r="DXD22" s="2"/>
      <c r="DXE22" s="2"/>
      <c r="DXF22" s="2"/>
      <c r="DXG22" s="2"/>
      <c r="DXH22" s="2"/>
      <c r="DXI22" s="2"/>
      <c r="DXJ22" s="2"/>
      <c r="DXK22" s="2"/>
      <c r="DXL22" s="2"/>
      <c r="DXM22" s="2"/>
      <c r="DXN22" s="2"/>
      <c r="DXO22" s="2"/>
      <c r="DXP22" s="2"/>
      <c r="DXQ22" s="2"/>
      <c r="DXR22" s="2"/>
      <c r="DXS22" s="2"/>
      <c r="DXT22" s="2"/>
      <c r="DXU22" s="2"/>
      <c r="DXV22" s="2"/>
      <c r="DXW22" s="2"/>
      <c r="DXX22" s="2"/>
      <c r="DXY22" s="2"/>
      <c r="DXZ22" s="2"/>
      <c r="DYA22" s="2"/>
      <c r="DYB22" s="2"/>
      <c r="DYC22" s="2"/>
      <c r="DYD22" s="2"/>
      <c r="DYE22" s="2"/>
      <c r="DYF22" s="2"/>
      <c r="DYG22" s="2"/>
      <c r="DYH22" s="2"/>
      <c r="DYI22" s="2"/>
      <c r="DYJ22" s="2"/>
      <c r="DYK22" s="2"/>
      <c r="DYL22" s="2"/>
      <c r="DYM22" s="2"/>
      <c r="DYN22" s="2"/>
      <c r="DYO22" s="2"/>
      <c r="DYP22" s="2"/>
      <c r="DYQ22" s="2"/>
      <c r="DYR22" s="2"/>
      <c r="DYS22" s="2"/>
      <c r="DYT22" s="2"/>
      <c r="DYU22" s="2"/>
      <c r="DYV22" s="2"/>
      <c r="DYW22" s="2"/>
      <c r="DYX22" s="2"/>
      <c r="DYY22" s="2"/>
      <c r="DYZ22" s="2"/>
      <c r="DZA22" s="2"/>
      <c r="DZB22" s="2"/>
      <c r="DZC22" s="2"/>
      <c r="DZD22" s="2"/>
      <c r="DZE22" s="2"/>
      <c r="DZF22" s="2"/>
      <c r="DZG22" s="2"/>
      <c r="DZH22" s="2"/>
      <c r="DZI22" s="2"/>
      <c r="DZJ22" s="2"/>
      <c r="DZK22" s="2"/>
      <c r="DZL22" s="2"/>
      <c r="DZM22" s="2"/>
      <c r="DZN22" s="2"/>
      <c r="DZO22" s="2"/>
      <c r="DZP22" s="2"/>
      <c r="DZQ22" s="2"/>
      <c r="DZR22" s="2"/>
      <c r="DZS22" s="2"/>
      <c r="DZT22" s="2"/>
      <c r="DZU22" s="2"/>
      <c r="DZV22" s="2"/>
      <c r="DZW22" s="2"/>
      <c r="DZX22" s="2"/>
      <c r="DZY22" s="2"/>
      <c r="DZZ22" s="2"/>
      <c r="EAA22" s="2"/>
      <c r="EAB22" s="2"/>
      <c r="EAC22" s="2"/>
      <c r="EAD22" s="2"/>
      <c r="EAE22" s="2"/>
      <c r="EAF22" s="2"/>
      <c r="EAG22" s="2"/>
      <c r="EAH22" s="2"/>
      <c r="EAI22" s="2"/>
      <c r="EAJ22" s="2"/>
      <c r="EAK22" s="2"/>
      <c r="EAL22" s="2"/>
      <c r="EAM22" s="2"/>
      <c r="EAN22" s="2"/>
      <c r="EAO22" s="2"/>
      <c r="EAP22" s="2"/>
      <c r="EAQ22" s="2"/>
      <c r="EAR22" s="2"/>
      <c r="EAS22" s="2"/>
      <c r="EAT22" s="2"/>
      <c r="EAU22" s="2"/>
      <c r="EAV22" s="2"/>
      <c r="EAW22" s="2"/>
      <c r="EAX22" s="2"/>
      <c r="EAY22" s="2"/>
      <c r="EAZ22" s="2"/>
      <c r="EBA22" s="2"/>
      <c r="EBB22" s="2"/>
      <c r="EBC22" s="2"/>
      <c r="EBD22" s="2"/>
      <c r="EBE22" s="2"/>
      <c r="EBF22" s="2"/>
      <c r="EBG22" s="2"/>
      <c r="EBH22" s="2"/>
      <c r="EBI22" s="2"/>
      <c r="EBJ22" s="2"/>
      <c r="EBK22" s="2"/>
      <c r="EBL22" s="2"/>
      <c r="EBM22" s="2"/>
      <c r="EBN22" s="2"/>
      <c r="EBO22" s="2"/>
      <c r="EBP22" s="2"/>
      <c r="EBQ22" s="2"/>
      <c r="EBR22" s="2"/>
      <c r="EBS22" s="2"/>
      <c r="EBT22" s="2"/>
      <c r="EBU22" s="2"/>
      <c r="EBV22" s="2"/>
      <c r="EBW22" s="2"/>
      <c r="EBX22" s="2"/>
      <c r="EBY22" s="2"/>
      <c r="EBZ22" s="2"/>
      <c r="ECA22" s="2"/>
      <c r="ECB22" s="2"/>
      <c r="ECC22" s="2"/>
      <c r="ECD22" s="2"/>
      <c r="ECE22" s="2"/>
      <c r="ECF22" s="2"/>
      <c r="ECG22" s="2"/>
      <c r="ECH22" s="2"/>
      <c r="ECI22" s="2"/>
      <c r="ECJ22" s="2"/>
      <c r="ECK22" s="2"/>
      <c r="ECL22" s="2"/>
      <c r="ECM22" s="2"/>
      <c r="ECN22" s="2"/>
      <c r="ECO22" s="2"/>
      <c r="ECP22" s="2"/>
      <c r="ECQ22" s="2"/>
      <c r="ECR22" s="2"/>
      <c r="ECS22" s="2"/>
      <c r="ECT22" s="2"/>
      <c r="ECU22" s="2"/>
      <c r="ECV22" s="2"/>
      <c r="ECW22" s="2"/>
      <c r="ECX22" s="2"/>
      <c r="ECY22" s="2"/>
      <c r="ECZ22" s="2"/>
      <c r="EDA22" s="2"/>
      <c r="EDB22" s="2"/>
      <c r="EDC22" s="2"/>
      <c r="EDD22" s="2"/>
      <c r="EDE22" s="2"/>
      <c r="EDF22" s="2"/>
      <c r="EDG22" s="2"/>
      <c r="EDH22" s="2"/>
      <c r="EDI22" s="2"/>
      <c r="EDJ22" s="2"/>
      <c r="EDK22" s="2"/>
      <c r="EDL22" s="2"/>
      <c r="EDM22" s="2"/>
      <c r="EDN22" s="2"/>
      <c r="EDO22" s="2"/>
      <c r="EDP22" s="2"/>
      <c r="EDQ22" s="2"/>
      <c r="EDR22" s="2"/>
      <c r="EDS22" s="2"/>
      <c r="EDT22" s="2"/>
      <c r="EDU22" s="2"/>
      <c r="EDV22" s="2"/>
      <c r="EDW22" s="2"/>
      <c r="EDX22" s="2"/>
      <c r="EDY22" s="2"/>
      <c r="EDZ22" s="2"/>
      <c r="EEA22" s="2"/>
      <c r="EEB22" s="2"/>
      <c r="EEC22" s="2"/>
      <c r="EED22" s="2"/>
      <c r="EEE22" s="2"/>
      <c r="EEF22" s="2"/>
      <c r="EEG22" s="2"/>
      <c r="EEH22" s="2"/>
      <c r="EEI22" s="2"/>
      <c r="EEJ22" s="2"/>
      <c r="EEK22" s="2"/>
      <c r="EEL22" s="2"/>
      <c r="EEM22" s="2"/>
      <c r="EEN22" s="2"/>
      <c r="EEO22" s="2"/>
      <c r="EEP22" s="2"/>
      <c r="EEQ22" s="2"/>
      <c r="EER22" s="2"/>
      <c r="EES22" s="2"/>
      <c r="EET22" s="2"/>
      <c r="EEU22" s="2"/>
      <c r="EEV22" s="2"/>
      <c r="EEW22" s="2"/>
      <c r="EEX22" s="2"/>
      <c r="EEY22" s="2"/>
      <c r="EEZ22" s="2"/>
      <c r="EFA22" s="2"/>
      <c r="EFB22" s="2"/>
      <c r="EFC22" s="2"/>
      <c r="EFD22" s="2"/>
      <c r="EFE22" s="2"/>
      <c r="EFF22" s="2"/>
      <c r="EFG22" s="2"/>
      <c r="EFH22" s="2"/>
      <c r="EFI22" s="2"/>
      <c r="EFJ22" s="2"/>
      <c r="EFK22" s="2"/>
      <c r="EFL22" s="2"/>
      <c r="EFM22" s="2"/>
      <c r="EFN22" s="2"/>
      <c r="EFO22" s="2"/>
      <c r="EFP22" s="2"/>
      <c r="EFQ22" s="2"/>
      <c r="EFR22" s="2"/>
      <c r="EFS22" s="2"/>
      <c r="EFT22" s="2"/>
      <c r="EFU22" s="2"/>
      <c r="EFV22" s="2"/>
      <c r="EFW22" s="2"/>
      <c r="EFX22" s="2"/>
      <c r="EFY22" s="2"/>
      <c r="EFZ22" s="2"/>
      <c r="EGA22" s="2"/>
      <c r="EGB22" s="2"/>
      <c r="EGC22" s="2"/>
      <c r="EGD22" s="2"/>
      <c r="EGE22" s="2"/>
      <c r="EGF22" s="2"/>
      <c r="EGG22" s="2"/>
      <c r="EGH22" s="2"/>
      <c r="EGI22" s="2"/>
      <c r="EGJ22" s="2"/>
      <c r="EGK22" s="2"/>
      <c r="EGL22" s="2"/>
      <c r="EGM22" s="2"/>
      <c r="EGN22" s="2"/>
      <c r="EGO22" s="2"/>
      <c r="EGP22" s="2"/>
      <c r="EGQ22" s="2"/>
      <c r="EGR22" s="2"/>
      <c r="EGS22" s="2"/>
      <c r="EGT22" s="2"/>
      <c r="EGU22" s="2"/>
      <c r="EGV22" s="2"/>
      <c r="EGW22" s="2"/>
      <c r="EGX22" s="2"/>
      <c r="EGY22" s="2"/>
      <c r="EGZ22" s="2"/>
      <c r="EHA22" s="2"/>
      <c r="EHB22" s="2"/>
      <c r="EHC22" s="2"/>
      <c r="EHD22" s="2"/>
      <c r="EHE22" s="2"/>
      <c r="EHF22" s="2"/>
      <c r="EHG22" s="2"/>
      <c r="EHH22" s="2"/>
      <c r="EHI22" s="2"/>
      <c r="EHJ22" s="2"/>
      <c r="EHK22" s="2"/>
      <c r="EHL22" s="2"/>
      <c r="EHM22" s="2"/>
      <c r="EHN22" s="2"/>
      <c r="EHO22" s="2"/>
      <c r="EHP22" s="2"/>
      <c r="EHQ22" s="2"/>
      <c r="EHR22" s="2"/>
      <c r="EHS22" s="2"/>
      <c r="EHT22" s="2"/>
      <c r="EHU22" s="2"/>
      <c r="EHV22" s="2"/>
      <c r="EHW22" s="2"/>
      <c r="EHX22" s="2"/>
      <c r="EHY22" s="2"/>
      <c r="EHZ22" s="2"/>
      <c r="EIA22" s="2"/>
      <c r="EIB22" s="2"/>
      <c r="EIC22" s="2"/>
      <c r="EID22" s="2"/>
      <c r="EIE22" s="2"/>
      <c r="EIF22" s="2"/>
      <c r="EIG22" s="2"/>
      <c r="EIH22" s="2"/>
      <c r="EII22" s="2"/>
      <c r="EIJ22" s="2"/>
      <c r="EIK22" s="2"/>
      <c r="EIL22" s="2"/>
      <c r="EIM22" s="2"/>
      <c r="EIN22" s="2"/>
      <c r="EIO22" s="2"/>
      <c r="EIP22" s="2"/>
      <c r="EIQ22" s="2"/>
      <c r="EIR22" s="2"/>
      <c r="EIS22" s="2"/>
      <c r="EIT22" s="2"/>
      <c r="EIU22" s="2"/>
      <c r="EIV22" s="2"/>
      <c r="EIW22" s="2"/>
      <c r="EIX22" s="2"/>
      <c r="EIY22" s="2"/>
      <c r="EIZ22" s="2"/>
      <c r="EJA22" s="2"/>
      <c r="EJB22" s="2"/>
      <c r="EJC22" s="2"/>
      <c r="EJD22" s="2"/>
      <c r="EJE22" s="2"/>
      <c r="EJF22" s="2"/>
      <c r="EJG22" s="2"/>
      <c r="EJH22" s="2"/>
      <c r="EJI22" s="2"/>
      <c r="EJJ22" s="2"/>
      <c r="EJK22" s="2"/>
      <c r="EJL22" s="2"/>
      <c r="EJM22" s="2"/>
      <c r="EJN22" s="2"/>
      <c r="EJO22" s="2"/>
      <c r="EJP22" s="2"/>
      <c r="EJQ22" s="2"/>
      <c r="EJR22" s="2"/>
      <c r="EJS22" s="2"/>
      <c r="EJT22" s="2"/>
      <c r="EJU22" s="2"/>
      <c r="EJV22" s="2"/>
      <c r="EJW22" s="2"/>
      <c r="EJX22" s="2"/>
      <c r="EJY22" s="2"/>
      <c r="EJZ22" s="2"/>
      <c r="EKA22" s="2"/>
      <c r="EKB22" s="2"/>
      <c r="EKC22" s="2"/>
      <c r="EKD22" s="2"/>
      <c r="EKE22" s="2"/>
      <c r="EKF22" s="2"/>
      <c r="EKG22" s="2"/>
      <c r="EKH22" s="2"/>
      <c r="EKI22" s="2"/>
      <c r="EKJ22" s="2"/>
      <c r="EKK22" s="2"/>
      <c r="EKL22" s="2"/>
      <c r="EKM22" s="2"/>
      <c r="EKN22" s="2"/>
      <c r="EKO22" s="2"/>
      <c r="EKP22" s="2"/>
      <c r="EKQ22" s="2"/>
      <c r="EKR22" s="2"/>
      <c r="EKS22" s="2"/>
      <c r="EKT22" s="2"/>
      <c r="EKU22" s="2"/>
      <c r="EKV22" s="2"/>
      <c r="EKW22" s="2"/>
      <c r="EKX22" s="2"/>
      <c r="EKY22" s="2"/>
      <c r="EKZ22" s="2"/>
      <c r="ELA22" s="2"/>
      <c r="ELB22" s="2"/>
      <c r="ELC22" s="2"/>
      <c r="ELD22" s="2"/>
      <c r="ELE22" s="2"/>
      <c r="ELF22" s="2"/>
      <c r="ELG22" s="2"/>
      <c r="ELH22" s="2"/>
      <c r="ELI22" s="2"/>
      <c r="ELJ22" s="2"/>
      <c r="ELK22" s="2"/>
      <c r="ELL22" s="2"/>
      <c r="ELM22" s="2"/>
      <c r="ELN22" s="2"/>
      <c r="ELO22" s="2"/>
      <c r="ELP22" s="2"/>
      <c r="ELQ22" s="2"/>
      <c r="ELR22" s="2"/>
      <c r="ELS22" s="2"/>
      <c r="ELT22" s="2"/>
      <c r="ELU22" s="2"/>
      <c r="ELV22" s="2"/>
      <c r="ELW22" s="2"/>
      <c r="ELX22" s="2"/>
      <c r="ELY22" s="2"/>
      <c r="ELZ22" s="2"/>
      <c r="EMA22" s="2"/>
      <c r="EMB22" s="2"/>
      <c r="EMC22" s="2"/>
      <c r="EMD22" s="2"/>
      <c r="EME22" s="2"/>
      <c r="EMF22" s="2"/>
      <c r="EMG22" s="2"/>
      <c r="EMH22" s="2"/>
      <c r="EMI22" s="2"/>
      <c r="EMJ22" s="2"/>
      <c r="EMK22" s="2"/>
      <c r="EML22" s="2"/>
      <c r="EMM22" s="2"/>
      <c r="EMN22" s="2"/>
      <c r="EMO22" s="2"/>
      <c r="EMP22" s="2"/>
      <c r="EMQ22" s="2"/>
      <c r="EMR22" s="2"/>
      <c r="EMS22" s="2"/>
      <c r="EMT22" s="2"/>
      <c r="EMU22" s="2"/>
      <c r="EMV22" s="2"/>
      <c r="EMW22" s="2"/>
      <c r="EMX22" s="2"/>
      <c r="EMY22" s="2"/>
      <c r="EMZ22" s="2"/>
      <c r="ENA22" s="2"/>
      <c r="ENB22" s="2"/>
      <c r="ENC22" s="2"/>
      <c r="END22" s="2"/>
      <c r="ENE22" s="2"/>
      <c r="ENF22" s="2"/>
      <c r="ENG22" s="2"/>
      <c r="ENH22" s="2"/>
      <c r="ENI22" s="2"/>
      <c r="ENJ22" s="2"/>
      <c r="ENK22" s="2"/>
      <c r="ENL22" s="2"/>
      <c r="ENM22" s="2"/>
      <c r="ENN22" s="2"/>
      <c r="ENO22" s="2"/>
      <c r="ENP22" s="2"/>
      <c r="ENQ22" s="2"/>
      <c r="ENR22" s="2"/>
      <c r="ENS22" s="2"/>
      <c r="ENT22" s="2"/>
      <c r="ENU22" s="2"/>
      <c r="ENV22" s="2"/>
      <c r="ENW22" s="2"/>
      <c r="ENX22" s="2"/>
      <c r="ENY22" s="2"/>
      <c r="ENZ22" s="2"/>
      <c r="EOA22" s="2"/>
      <c r="EOB22" s="2"/>
      <c r="EOC22" s="2"/>
      <c r="EOD22" s="2"/>
      <c r="EOE22" s="2"/>
      <c r="EOF22" s="2"/>
      <c r="EOG22" s="2"/>
      <c r="EOH22" s="2"/>
      <c r="EOI22" s="2"/>
      <c r="EOJ22" s="2"/>
      <c r="EOK22" s="2"/>
      <c r="EOL22" s="2"/>
      <c r="EOM22" s="2"/>
      <c r="EON22" s="2"/>
      <c r="EOO22" s="2"/>
      <c r="EOP22" s="2"/>
      <c r="EOQ22" s="2"/>
      <c r="EOR22" s="2"/>
      <c r="EOS22" s="2"/>
      <c r="EOT22" s="2"/>
      <c r="EOU22" s="2"/>
      <c r="EOV22" s="2"/>
      <c r="EOW22" s="2"/>
      <c r="EOX22" s="2"/>
      <c r="EOY22" s="2"/>
      <c r="EOZ22" s="2"/>
      <c r="EPA22" s="2"/>
      <c r="EPB22" s="2"/>
      <c r="EPC22" s="2"/>
      <c r="EPD22" s="2"/>
      <c r="EPE22" s="2"/>
      <c r="EPF22" s="2"/>
      <c r="EPG22" s="2"/>
      <c r="EPH22" s="2"/>
      <c r="EPI22" s="2"/>
      <c r="EPJ22" s="2"/>
      <c r="EPK22" s="2"/>
      <c r="EPL22" s="2"/>
      <c r="EPM22" s="2"/>
      <c r="EPN22" s="2"/>
      <c r="EPO22" s="2"/>
      <c r="EPP22" s="2"/>
      <c r="EPQ22" s="2"/>
      <c r="EPR22" s="2"/>
      <c r="EPS22" s="2"/>
      <c r="EPT22" s="2"/>
      <c r="EPU22" s="2"/>
      <c r="EPV22" s="2"/>
      <c r="EPW22" s="2"/>
      <c r="EPX22" s="2"/>
      <c r="EPY22" s="2"/>
      <c r="EPZ22" s="2"/>
      <c r="EQA22" s="2"/>
      <c r="EQB22" s="2"/>
      <c r="EQC22" s="2"/>
      <c r="EQD22" s="2"/>
      <c r="EQE22" s="2"/>
      <c r="EQF22" s="2"/>
      <c r="EQG22" s="2"/>
      <c r="EQH22" s="2"/>
      <c r="EQI22" s="2"/>
      <c r="EQJ22" s="2"/>
      <c r="EQK22" s="2"/>
      <c r="EQL22" s="2"/>
      <c r="EQM22" s="2"/>
      <c r="EQN22" s="2"/>
      <c r="EQO22" s="2"/>
      <c r="EQP22" s="2"/>
      <c r="EQQ22" s="2"/>
      <c r="EQR22" s="2"/>
      <c r="EQS22" s="2"/>
      <c r="EQT22" s="2"/>
      <c r="EQU22" s="2"/>
      <c r="EQV22" s="2"/>
      <c r="EQW22" s="2"/>
      <c r="EQX22" s="2"/>
      <c r="EQY22" s="2"/>
      <c r="EQZ22" s="2"/>
      <c r="ERA22" s="2"/>
      <c r="ERB22" s="2"/>
      <c r="ERC22" s="2"/>
      <c r="ERD22" s="2"/>
      <c r="ERE22" s="2"/>
      <c r="ERF22" s="2"/>
      <c r="ERG22" s="2"/>
      <c r="ERH22" s="2"/>
      <c r="ERI22" s="2"/>
      <c r="ERJ22" s="2"/>
      <c r="ERK22" s="2"/>
      <c r="ERL22" s="2"/>
      <c r="ERM22" s="2"/>
      <c r="ERN22" s="2"/>
      <c r="ERO22" s="2"/>
      <c r="ERP22" s="2"/>
      <c r="ERQ22" s="2"/>
      <c r="ERR22" s="2"/>
      <c r="ERS22" s="2"/>
      <c r="ERT22" s="2"/>
      <c r="ERU22" s="2"/>
      <c r="ERV22" s="2"/>
      <c r="ERW22" s="2"/>
      <c r="ERX22" s="2"/>
      <c r="ERY22" s="2"/>
      <c r="ERZ22" s="2"/>
      <c r="ESA22" s="2"/>
      <c r="ESB22" s="2"/>
      <c r="ESC22" s="2"/>
      <c r="ESD22" s="2"/>
      <c r="ESE22" s="2"/>
      <c r="ESF22" s="2"/>
      <c r="ESG22" s="2"/>
      <c r="ESH22" s="2"/>
      <c r="ESI22" s="2"/>
      <c r="ESJ22" s="2"/>
      <c r="ESK22" s="2"/>
      <c r="ESL22" s="2"/>
      <c r="ESM22" s="2"/>
      <c r="ESN22" s="2"/>
      <c r="ESO22" s="2"/>
      <c r="ESP22" s="2"/>
      <c r="ESQ22" s="2"/>
      <c r="ESR22" s="2"/>
      <c r="ESS22" s="2"/>
      <c r="EST22" s="2"/>
      <c r="ESU22" s="2"/>
      <c r="ESV22" s="2"/>
      <c r="ESW22" s="2"/>
      <c r="ESX22" s="2"/>
      <c r="ESY22" s="2"/>
      <c r="ESZ22" s="2"/>
      <c r="ETA22" s="2"/>
      <c r="ETB22" s="2"/>
      <c r="ETC22" s="2"/>
      <c r="ETD22" s="2"/>
      <c r="ETE22" s="2"/>
      <c r="ETF22" s="2"/>
      <c r="ETG22" s="2"/>
      <c r="ETH22" s="2"/>
      <c r="ETI22" s="2"/>
      <c r="ETJ22" s="2"/>
      <c r="ETK22" s="2"/>
      <c r="ETL22" s="2"/>
      <c r="ETM22" s="2"/>
      <c r="ETN22" s="2"/>
      <c r="ETO22" s="2"/>
      <c r="ETP22" s="2"/>
      <c r="ETQ22" s="2"/>
      <c r="ETR22" s="2"/>
      <c r="ETS22" s="2"/>
      <c r="ETT22" s="2"/>
      <c r="ETU22" s="2"/>
      <c r="ETV22" s="2"/>
      <c r="ETW22" s="2"/>
      <c r="ETX22" s="2"/>
      <c r="ETY22" s="2"/>
      <c r="ETZ22" s="2"/>
      <c r="EUA22" s="2"/>
      <c r="EUB22" s="2"/>
      <c r="EUC22" s="2"/>
      <c r="EUD22" s="2"/>
      <c r="EUE22" s="2"/>
      <c r="EUF22" s="2"/>
      <c r="EUG22" s="2"/>
      <c r="EUH22" s="2"/>
      <c r="EUI22" s="2"/>
      <c r="EUJ22" s="2"/>
      <c r="EUK22" s="2"/>
      <c r="EUL22" s="2"/>
      <c r="EUM22" s="2"/>
      <c r="EUN22" s="2"/>
      <c r="EUO22" s="2"/>
      <c r="EUP22" s="2"/>
      <c r="EUQ22" s="2"/>
      <c r="EUR22" s="2"/>
      <c r="EUS22" s="2"/>
      <c r="EUT22" s="2"/>
      <c r="EUU22" s="2"/>
      <c r="EUV22" s="2"/>
      <c r="EUW22" s="2"/>
      <c r="EUX22" s="2"/>
      <c r="EUY22" s="2"/>
      <c r="EUZ22" s="2"/>
      <c r="EVA22" s="2"/>
      <c r="EVB22" s="2"/>
      <c r="EVC22" s="2"/>
      <c r="EVD22" s="2"/>
      <c r="EVE22" s="2"/>
      <c r="EVF22" s="2"/>
      <c r="EVG22" s="2"/>
      <c r="EVH22" s="2"/>
      <c r="EVI22" s="2"/>
      <c r="EVJ22" s="2"/>
      <c r="EVK22" s="2"/>
      <c r="EVL22" s="2"/>
      <c r="EVM22" s="2"/>
      <c r="EVN22" s="2"/>
      <c r="EVO22" s="2"/>
      <c r="EVP22" s="2"/>
      <c r="EVQ22" s="2"/>
      <c r="EVR22" s="2"/>
      <c r="EVS22" s="2"/>
      <c r="EVT22" s="2"/>
      <c r="EVU22" s="2"/>
      <c r="EVV22" s="2"/>
      <c r="EVW22" s="2"/>
      <c r="EVX22" s="2"/>
      <c r="EVY22" s="2"/>
      <c r="EVZ22" s="2"/>
      <c r="EWA22" s="2"/>
      <c r="EWB22" s="2"/>
      <c r="EWC22" s="2"/>
      <c r="EWD22" s="2"/>
      <c r="EWE22" s="2"/>
      <c r="EWF22" s="2"/>
      <c r="EWG22" s="2"/>
      <c r="EWH22" s="2"/>
      <c r="EWI22" s="2"/>
      <c r="EWJ22" s="2"/>
      <c r="EWK22" s="2"/>
      <c r="EWL22" s="2"/>
      <c r="EWM22" s="2"/>
      <c r="EWN22" s="2"/>
      <c r="EWO22" s="2"/>
      <c r="EWP22" s="2"/>
      <c r="EWQ22" s="2"/>
      <c r="EWR22" s="2"/>
      <c r="EWS22" s="2"/>
      <c r="EWT22" s="2"/>
      <c r="EWU22" s="2"/>
      <c r="EWV22" s="2"/>
      <c r="EWW22" s="2"/>
      <c r="EWX22" s="2"/>
      <c r="EWY22" s="2"/>
      <c r="EWZ22" s="2"/>
      <c r="EXA22" s="2"/>
      <c r="EXB22" s="2"/>
      <c r="EXC22" s="2"/>
      <c r="EXD22" s="2"/>
      <c r="EXE22" s="2"/>
      <c r="EXF22" s="2"/>
      <c r="EXG22" s="2"/>
      <c r="EXH22" s="2"/>
      <c r="EXI22" s="2"/>
      <c r="EXJ22" s="2"/>
      <c r="EXK22" s="2"/>
      <c r="EXL22" s="2"/>
      <c r="EXM22" s="2"/>
      <c r="EXN22" s="2"/>
      <c r="EXO22" s="2"/>
      <c r="EXP22" s="2"/>
      <c r="EXQ22" s="2"/>
      <c r="EXR22" s="2"/>
      <c r="EXS22" s="2"/>
      <c r="EXT22" s="2"/>
      <c r="EXU22" s="2"/>
      <c r="EXV22" s="2"/>
      <c r="EXW22" s="2"/>
      <c r="EXX22" s="2"/>
      <c r="EXY22" s="2"/>
      <c r="EXZ22" s="2"/>
      <c r="EYA22" s="2"/>
      <c r="EYB22" s="2"/>
      <c r="EYC22" s="2"/>
      <c r="EYD22" s="2"/>
      <c r="EYE22" s="2"/>
      <c r="EYF22" s="2"/>
      <c r="EYG22" s="2"/>
      <c r="EYH22" s="2"/>
      <c r="EYI22" s="2"/>
      <c r="EYJ22" s="2"/>
      <c r="EYK22" s="2"/>
      <c r="EYL22" s="2"/>
      <c r="EYM22" s="2"/>
      <c r="EYN22" s="2"/>
      <c r="EYO22" s="2"/>
      <c r="EYP22" s="2"/>
      <c r="EYQ22" s="2"/>
      <c r="EYR22" s="2"/>
      <c r="EYS22" s="2"/>
      <c r="EYT22" s="2"/>
      <c r="EYU22" s="2"/>
      <c r="EYV22" s="2"/>
      <c r="EYW22" s="2"/>
      <c r="EYX22" s="2"/>
      <c r="EYY22" s="2"/>
      <c r="EYZ22" s="2"/>
      <c r="EZA22" s="2"/>
      <c r="EZB22" s="2"/>
      <c r="EZC22" s="2"/>
      <c r="EZD22" s="2"/>
      <c r="EZE22" s="2"/>
      <c r="EZF22" s="2"/>
      <c r="EZG22" s="2"/>
      <c r="EZH22" s="2"/>
      <c r="EZI22" s="2"/>
      <c r="EZJ22" s="2"/>
      <c r="EZK22" s="2"/>
      <c r="EZL22" s="2"/>
      <c r="EZM22" s="2"/>
      <c r="EZN22" s="2"/>
      <c r="EZO22" s="2"/>
      <c r="EZP22" s="2"/>
      <c r="EZQ22" s="2"/>
      <c r="EZR22" s="2"/>
      <c r="EZS22" s="2"/>
      <c r="EZT22" s="2"/>
      <c r="EZU22" s="2"/>
      <c r="EZV22" s="2"/>
      <c r="EZW22" s="2"/>
      <c r="EZX22" s="2"/>
      <c r="EZY22" s="2"/>
      <c r="EZZ22" s="2"/>
      <c r="FAA22" s="2"/>
      <c r="FAB22" s="2"/>
      <c r="FAC22" s="2"/>
      <c r="FAD22" s="2"/>
      <c r="FAE22" s="2"/>
      <c r="FAF22" s="2"/>
      <c r="FAG22" s="2"/>
      <c r="FAH22" s="2"/>
      <c r="FAI22" s="2"/>
      <c r="FAJ22" s="2"/>
      <c r="FAK22" s="2"/>
      <c r="FAL22" s="2"/>
      <c r="FAM22" s="2"/>
      <c r="FAN22" s="2"/>
      <c r="FAO22" s="2"/>
      <c r="FAP22" s="2"/>
      <c r="FAQ22" s="2"/>
      <c r="FAR22" s="2"/>
      <c r="FAS22" s="2"/>
      <c r="FAT22" s="2"/>
      <c r="FAU22" s="2"/>
      <c r="FAV22" s="2"/>
      <c r="FAW22" s="2"/>
      <c r="FAX22" s="2"/>
      <c r="FAY22" s="2"/>
      <c r="FAZ22" s="2"/>
      <c r="FBA22" s="2"/>
      <c r="FBB22" s="2"/>
      <c r="FBC22" s="2"/>
      <c r="FBD22" s="2"/>
      <c r="FBE22" s="2"/>
      <c r="FBF22" s="2"/>
      <c r="FBG22" s="2"/>
      <c r="FBH22" s="2"/>
      <c r="FBI22" s="2"/>
      <c r="FBJ22" s="2"/>
      <c r="FBK22" s="2"/>
      <c r="FBL22" s="2"/>
      <c r="FBM22" s="2"/>
      <c r="FBN22" s="2"/>
      <c r="FBO22" s="2"/>
      <c r="FBP22" s="2"/>
      <c r="FBQ22" s="2"/>
      <c r="FBR22" s="2"/>
      <c r="FBS22" s="2"/>
      <c r="FBT22" s="2"/>
      <c r="FBU22" s="2"/>
      <c r="FBV22" s="2"/>
      <c r="FBW22" s="2"/>
      <c r="FBX22" s="2"/>
      <c r="FBY22" s="2"/>
      <c r="FBZ22" s="2"/>
      <c r="FCA22" s="2"/>
      <c r="FCB22" s="2"/>
      <c r="FCC22" s="2"/>
      <c r="FCD22" s="2"/>
      <c r="FCE22" s="2"/>
      <c r="FCF22" s="2"/>
      <c r="FCG22" s="2"/>
      <c r="FCH22" s="2"/>
      <c r="FCI22" s="2"/>
      <c r="FCJ22" s="2"/>
      <c r="FCK22" s="2"/>
      <c r="FCL22" s="2"/>
      <c r="FCM22" s="2"/>
      <c r="FCN22" s="2"/>
      <c r="FCO22" s="2"/>
      <c r="FCP22" s="2"/>
      <c r="FCQ22" s="2"/>
      <c r="FCR22" s="2"/>
      <c r="FCS22" s="2"/>
      <c r="FCT22" s="2"/>
      <c r="FCU22" s="2"/>
      <c r="FCV22" s="2"/>
      <c r="FCW22" s="2"/>
      <c r="FCX22" s="2"/>
      <c r="FCY22" s="2"/>
      <c r="FCZ22" s="2"/>
      <c r="FDA22" s="2"/>
      <c r="FDB22" s="2"/>
      <c r="FDC22" s="2"/>
      <c r="FDD22" s="2"/>
      <c r="FDE22" s="2"/>
      <c r="FDF22" s="2"/>
      <c r="FDG22" s="2"/>
      <c r="FDH22" s="2"/>
      <c r="FDI22" s="2"/>
      <c r="FDJ22" s="2"/>
      <c r="FDK22" s="2"/>
      <c r="FDL22" s="2"/>
      <c r="FDM22" s="2"/>
      <c r="FDN22" s="2"/>
      <c r="FDO22" s="2"/>
      <c r="FDP22" s="2"/>
      <c r="FDQ22" s="2"/>
      <c r="FDR22" s="2"/>
      <c r="FDS22" s="2"/>
      <c r="FDT22" s="2"/>
      <c r="FDU22" s="2"/>
      <c r="FDV22" s="2"/>
      <c r="FDW22" s="2"/>
      <c r="FDX22" s="2"/>
      <c r="FDY22" s="2"/>
      <c r="FDZ22" s="2"/>
      <c r="FEA22" s="2"/>
      <c r="FEB22" s="2"/>
      <c r="FEC22" s="2"/>
      <c r="FED22" s="2"/>
      <c r="FEE22" s="2"/>
      <c r="FEF22" s="2"/>
      <c r="FEG22" s="2"/>
      <c r="FEH22" s="2"/>
      <c r="FEI22" s="2"/>
      <c r="FEJ22" s="2"/>
      <c r="FEK22" s="2"/>
      <c r="FEL22" s="2"/>
      <c r="FEM22" s="2"/>
      <c r="FEN22" s="2"/>
      <c r="FEO22" s="2"/>
      <c r="FEP22" s="2"/>
      <c r="FEQ22" s="2"/>
      <c r="FER22" s="2"/>
      <c r="FES22" s="2"/>
      <c r="FET22" s="2"/>
      <c r="FEU22" s="2"/>
      <c r="FEV22" s="2"/>
      <c r="FEW22" s="2"/>
      <c r="FEX22" s="2"/>
      <c r="FEY22" s="2"/>
      <c r="FEZ22" s="2"/>
      <c r="FFA22" s="2"/>
      <c r="FFB22" s="2"/>
      <c r="FFC22" s="2"/>
      <c r="FFD22" s="2"/>
      <c r="FFE22" s="2"/>
      <c r="FFF22" s="2"/>
      <c r="FFG22" s="2"/>
      <c r="FFH22" s="2"/>
      <c r="FFI22" s="2"/>
      <c r="FFJ22" s="2"/>
      <c r="FFK22" s="2"/>
      <c r="FFL22" s="2"/>
      <c r="FFM22" s="2"/>
      <c r="FFN22" s="2"/>
      <c r="FFO22" s="2"/>
      <c r="FFP22" s="2"/>
      <c r="FFQ22" s="2"/>
      <c r="FFR22" s="2"/>
      <c r="FFS22" s="2"/>
      <c r="FFT22" s="2"/>
      <c r="FFU22" s="2"/>
      <c r="FFV22" s="2"/>
      <c r="FFW22" s="2"/>
      <c r="FFX22" s="2"/>
      <c r="FFY22" s="2"/>
      <c r="FFZ22" s="2"/>
      <c r="FGA22" s="2"/>
      <c r="FGB22" s="2"/>
      <c r="FGC22" s="2"/>
      <c r="FGD22" s="2"/>
      <c r="FGE22" s="2"/>
      <c r="FGF22" s="2"/>
      <c r="FGG22" s="2"/>
      <c r="FGH22" s="2"/>
      <c r="FGI22" s="2"/>
      <c r="FGJ22" s="2"/>
      <c r="FGK22" s="2"/>
      <c r="FGL22" s="2"/>
      <c r="FGM22" s="2"/>
      <c r="FGN22" s="2"/>
      <c r="FGO22" s="2"/>
      <c r="FGP22" s="2"/>
      <c r="FGQ22" s="2"/>
      <c r="FGR22" s="2"/>
      <c r="FGS22" s="2"/>
      <c r="FGT22" s="2"/>
      <c r="FGU22" s="2"/>
      <c r="FGV22" s="2"/>
      <c r="FGW22" s="2"/>
      <c r="FGX22" s="2"/>
      <c r="FGY22" s="2"/>
      <c r="FGZ22" s="2"/>
      <c r="FHA22" s="2"/>
      <c r="FHB22" s="2"/>
      <c r="FHC22" s="2"/>
      <c r="FHD22" s="2"/>
      <c r="FHE22" s="2"/>
      <c r="FHF22" s="2"/>
      <c r="FHG22" s="2"/>
      <c r="FHH22" s="2"/>
      <c r="FHI22" s="2"/>
      <c r="FHJ22" s="2"/>
      <c r="FHK22" s="2"/>
      <c r="FHL22" s="2"/>
      <c r="FHM22" s="2"/>
      <c r="FHN22" s="2"/>
      <c r="FHO22" s="2"/>
      <c r="FHP22" s="2"/>
      <c r="FHQ22" s="2"/>
      <c r="FHR22" s="2"/>
      <c r="FHS22" s="2"/>
      <c r="FHT22" s="2"/>
      <c r="FHU22" s="2"/>
      <c r="FHV22" s="2"/>
      <c r="FHW22" s="2"/>
      <c r="FHX22" s="2"/>
      <c r="FHY22" s="2"/>
      <c r="FHZ22" s="2"/>
      <c r="FIA22" s="2"/>
      <c r="FIB22" s="2"/>
      <c r="FIC22" s="2"/>
      <c r="FID22" s="2"/>
      <c r="FIE22" s="2"/>
      <c r="FIF22" s="2"/>
      <c r="FIG22" s="2"/>
      <c r="FIH22" s="2"/>
      <c r="FII22" s="2"/>
      <c r="FIJ22" s="2"/>
      <c r="FIK22" s="2"/>
      <c r="FIL22" s="2"/>
      <c r="FIM22" s="2"/>
      <c r="FIN22" s="2"/>
      <c r="FIO22" s="2"/>
      <c r="FIP22" s="2"/>
      <c r="FIQ22" s="2"/>
      <c r="FIR22" s="2"/>
      <c r="FIS22" s="2"/>
      <c r="FIT22" s="2"/>
      <c r="FIU22" s="2"/>
      <c r="FIV22" s="2"/>
      <c r="FIW22" s="2"/>
      <c r="FIX22" s="2"/>
      <c r="FIY22" s="2"/>
      <c r="FIZ22" s="2"/>
      <c r="FJA22" s="2"/>
      <c r="FJB22" s="2"/>
      <c r="FJC22" s="2"/>
      <c r="FJD22" s="2"/>
      <c r="FJE22" s="2"/>
      <c r="FJF22" s="2"/>
      <c r="FJG22" s="2"/>
      <c r="FJH22" s="2"/>
      <c r="FJI22" s="2"/>
      <c r="FJJ22" s="2"/>
      <c r="FJK22" s="2"/>
      <c r="FJL22" s="2"/>
      <c r="FJM22" s="2"/>
      <c r="FJN22" s="2"/>
      <c r="FJO22" s="2"/>
      <c r="FJP22" s="2"/>
      <c r="FJQ22" s="2"/>
      <c r="FJR22" s="2"/>
      <c r="FJS22" s="2"/>
      <c r="FJT22" s="2"/>
      <c r="FJU22" s="2"/>
      <c r="FJV22" s="2"/>
      <c r="FJW22" s="2"/>
      <c r="FJX22" s="2"/>
      <c r="FJY22" s="2"/>
      <c r="FJZ22" s="2"/>
      <c r="FKA22" s="2"/>
      <c r="FKB22" s="2"/>
      <c r="FKC22" s="2"/>
      <c r="FKD22" s="2"/>
      <c r="FKE22" s="2"/>
      <c r="FKF22" s="2"/>
      <c r="FKG22" s="2"/>
      <c r="FKH22" s="2"/>
      <c r="FKI22" s="2"/>
      <c r="FKJ22" s="2"/>
      <c r="FKK22" s="2"/>
      <c r="FKL22" s="2"/>
      <c r="FKM22" s="2"/>
      <c r="FKN22" s="2"/>
      <c r="FKO22" s="2"/>
      <c r="FKP22" s="2"/>
      <c r="FKQ22" s="2"/>
      <c r="FKR22" s="2"/>
      <c r="FKS22" s="2"/>
      <c r="FKT22" s="2"/>
      <c r="FKU22" s="2"/>
      <c r="FKV22" s="2"/>
      <c r="FKW22" s="2"/>
      <c r="FKX22" s="2"/>
      <c r="FKY22" s="2"/>
      <c r="FKZ22" s="2"/>
      <c r="FLA22" s="2"/>
      <c r="FLB22" s="2"/>
      <c r="FLC22" s="2"/>
      <c r="FLD22" s="2"/>
      <c r="FLE22" s="2"/>
      <c r="FLF22" s="2"/>
      <c r="FLG22" s="2"/>
      <c r="FLH22" s="2"/>
      <c r="FLI22" s="2"/>
      <c r="FLJ22" s="2"/>
      <c r="FLK22" s="2"/>
      <c r="FLL22" s="2"/>
      <c r="FLM22" s="2"/>
      <c r="FLN22" s="2"/>
      <c r="FLO22" s="2"/>
      <c r="FLP22" s="2"/>
      <c r="FLQ22" s="2"/>
      <c r="FLR22" s="2"/>
      <c r="FLS22" s="2"/>
      <c r="FLT22" s="2"/>
      <c r="FLU22" s="2"/>
      <c r="FLV22" s="2"/>
      <c r="FLW22" s="2"/>
      <c r="FLX22" s="2"/>
      <c r="FLY22" s="2"/>
      <c r="FLZ22" s="2"/>
      <c r="FMA22" s="2"/>
      <c r="FMB22" s="2"/>
      <c r="FMC22" s="2"/>
      <c r="FMD22" s="2"/>
      <c r="FME22" s="2"/>
      <c r="FMF22" s="2"/>
      <c r="FMG22" s="2"/>
      <c r="FMH22" s="2"/>
      <c r="FMI22" s="2"/>
      <c r="FMJ22" s="2"/>
      <c r="FMK22" s="2"/>
      <c r="FML22" s="2"/>
      <c r="FMM22" s="2"/>
      <c r="FMN22" s="2"/>
      <c r="FMO22" s="2"/>
      <c r="FMP22" s="2"/>
      <c r="FMQ22" s="2"/>
      <c r="FMR22" s="2"/>
      <c r="FMS22" s="2"/>
      <c r="FMT22" s="2"/>
      <c r="FMU22" s="2"/>
      <c r="FMV22" s="2"/>
      <c r="FMW22" s="2"/>
      <c r="FMX22" s="2"/>
      <c r="FMY22" s="2"/>
      <c r="FMZ22" s="2"/>
      <c r="FNA22" s="2"/>
      <c r="FNB22" s="2"/>
      <c r="FNC22" s="2"/>
      <c r="FND22" s="2"/>
      <c r="FNE22" s="2"/>
      <c r="FNF22" s="2"/>
      <c r="FNG22" s="2"/>
      <c r="FNH22" s="2"/>
      <c r="FNI22" s="2"/>
      <c r="FNJ22" s="2"/>
      <c r="FNK22" s="2"/>
      <c r="FNL22" s="2"/>
      <c r="FNM22" s="2"/>
      <c r="FNN22" s="2"/>
      <c r="FNO22" s="2"/>
      <c r="FNP22" s="2"/>
      <c r="FNQ22" s="2"/>
      <c r="FNR22" s="2"/>
      <c r="FNS22" s="2"/>
      <c r="FNT22" s="2"/>
      <c r="FNU22" s="2"/>
      <c r="FNV22" s="2"/>
      <c r="FNW22" s="2"/>
      <c r="FNX22" s="2"/>
      <c r="FNY22" s="2"/>
      <c r="FNZ22" s="2"/>
      <c r="FOA22" s="2"/>
      <c r="FOB22" s="2"/>
      <c r="FOC22" s="2"/>
      <c r="FOD22" s="2"/>
      <c r="FOE22" s="2"/>
      <c r="FOF22" s="2"/>
      <c r="FOG22" s="2"/>
      <c r="FOH22" s="2"/>
      <c r="FOI22" s="2"/>
      <c r="FOJ22" s="2"/>
      <c r="FOK22" s="2"/>
      <c r="FOL22" s="2"/>
      <c r="FOM22" s="2"/>
      <c r="FON22" s="2"/>
      <c r="FOO22" s="2"/>
      <c r="FOP22" s="2"/>
      <c r="FOQ22" s="2"/>
      <c r="FOR22" s="2"/>
      <c r="FOS22" s="2"/>
      <c r="FOT22" s="2"/>
      <c r="FOU22" s="2"/>
      <c r="FOV22" s="2"/>
      <c r="FOW22" s="2"/>
      <c r="FOX22" s="2"/>
      <c r="FOY22" s="2"/>
      <c r="FOZ22" s="2"/>
      <c r="FPA22" s="2"/>
      <c r="FPB22" s="2"/>
      <c r="FPC22" s="2"/>
      <c r="FPD22" s="2"/>
      <c r="FPE22" s="2"/>
      <c r="FPF22" s="2"/>
      <c r="FPG22" s="2"/>
      <c r="FPH22" s="2"/>
      <c r="FPI22" s="2"/>
      <c r="FPJ22" s="2"/>
      <c r="FPK22" s="2"/>
      <c r="FPL22" s="2"/>
      <c r="FPM22" s="2"/>
      <c r="FPN22" s="2"/>
      <c r="FPO22" s="2"/>
      <c r="FPP22" s="2"/>
      <c r="FPQ22" s="2"/>
      <c r="FPR22" s="2"/>
      <c r="FPS22" s="2"/>
      <c r="FPT22" s="2"/>
      <c r="FPU22" s="2"/>
      <c r="FPV22" s="2"/>
      <c r="FPW22" s="2"/>
      <c r="FPX22" s="2"/>
      <c r="FPY22" s="2"/>
      <c r="FPZ22" s="2"/>
      <c r="FQA22" s="2"/>
      <c r="FQB22" s="2"/>
      <c r="FQC22" s="2"/>
      <c r="FQD22" s="2"/>
      <c r="FQE22" s="2"/>
      <c r="FQF22" s="2"/>
      <c r="FQG22" s="2"/>
      <c r="FQH22" s="2"/>
      <c r="FQI22" s="2"/>
      <c r="FQJ22" s="2"/>
      <c r="FQK22" s="2"/>
      <c r="FQL22" s="2"/>
      <c r="FQM22" s="2"/>
      <c r="FQN22" s="2"/>
      <c r="FQO22" s="2"/>
      <c r="FQP22" s="2"/>
      <c r="FQQ22" s="2"/>
      <c r="FQR22" s="2"/>
      <c r="FQS22" s="2"/>
      <c r="FQT22" s="2"/>
      <c r="FQU22" s="2"/>
      <c r="FQV22" s="2"/>
      <c r="FQW22" s="2"/>
      <c r="FQX22" s="2"/>
      <c r="FQY22" s="2"/>
      <c r="FQZ22" s="2"/>
      <c r="FRA22" s="2"/>
      <c r="FRB22" s="2"/>
      <c r="FRC22" s="2"/>
      <c r="FRD22" s="2"/>
      <c r="FRE22" s="2"/>
      <c r="FRF22" s="2"/>
      <c r="FRG22" s="2"/>
      <c r="FRH22" s="2"/>
      <c r="FRI22" s="2"/>
      <c r="FRJ22" s="2"/>
      <c r="FRK22" s="2"/>
      <c r="FRL22" s="2"/>
      <c r="FRM22" s="2"/>
      <c r="FRN22" s="2"/>
      <c r="FRO22" s="2"/>
      <c r="FRP22" s="2"/>
      <c r="FRQ22" s="2"/>
      <c r="FRR22" s="2"/>
      <c r="FRS22" s="2"/>
      <c r="FRT22" s="2"/>
      <c r="FRU22" s="2"/>
      <c r="FRV22" s="2"/>
      <c r="FRW22" s="2"/>
      <c r="FRX22" s="2"/>
      <c r="FRY22" s="2"/>
      <c r="FRZ22" s="2"/>
      <c r="FSA22" s="2"/>
      <c r="FSB22" s="2"/>
      <c r="FSC22" s="2"/>
      <c r="FSD22" s="2"/>
      <c r="FSE22" s="2"/>
      <c r="FSF22" s="2"/>
      <c r="FSG22" s="2"/>
      <c r="FSH22" s="2"/>
      <c r="FSI22" s="2"/>
      <c r="FSJ22" s="2"/>
      <c r="FSK22" s="2"/>
      <c r="FSL22" s="2"/>
      <c r="FSM22" s="2"/>
      <c r="FSN22" s="2"/>
      <c r="FSO22" s="2"/>
      <c r="FSP22" s="2"/>
      <c r="FSQ22" s="2"/>
      <c r="FSR22" s="2"/>
      <c r="FSS22" s="2"/>
      <c r="FST22" s="2"/>
      <c r="FSU22" s="2"/>
      <c r="FSV22" s="2"/>
      <c r="FSW22" s="2"/>
      <c r="FSX22" s="2"/>
      <c r="FSY22" s="2"/>
      <c r="FSZ22" s="2"/>
      <c r="FTA22" s="2"/>
      <c r="FTB22" s="2"/>
      <c r="FTC22" s="2"/>
      <c r="FTD22" s="2"/>
      <c r="FTE22" s="2"/>
      <c r="FTF22" s="2"/>
      <c r="FTG22" s="2"/>
      <c r="FTH22" s="2"/>
      <c r="FTI22" s="2"/>
      <c r="FTJ22" s="2"/>
      <c r="FTK22" s="2"/>
      <c r="FTL22" s="2"/>
      <c r="FTM22" s="2"/>
      <c r="FTN22" s="2"/>
      <c r="FTO22" s="2"/>
      <c r="FTP22" s="2"/>
      <c r="FTQ22" s="2"/>
      <c r="FTR22" s="2"/>
      <c r="FTS22" s="2"/>
      <c r="FTT22" s="2"/>
      <c r="FTU22" s="2"/>
      <c r="FTV22" s="2"/>
      <c r="FTW22" s="2"/>
      <c r="FTX22" s="2"/>
      <c r="FTY22" s="2"/>
      <c r="FTZ22" s="2"/>
      <c r="FUA22" s="2"/>
      <c r="FUB22" s="2"/>
      <c r="FUC22" s="2"/>
      <c r="FUD22" s="2"/>
      <c r="FUE22" s="2"/>
      <c r="FUF22" s="2"/>
      <c r="FUG22" s="2"/>
      <c r="FUH22" s="2"/>
      <c r="FUI22" s="2"/>
      <c r="FUJ22" s="2"/>
      <c r="FUK22" s="2"/>
      <c r="FUL22" s="2"/>
      <c r="FUM22" s="2"/>
      <c r="FUN22" s="2"/>
      <c r="FUO22" s="2"/>
      <c r="FUP22" s="2"/>
      <c r="FUQ22" s="2"/>
      <c r="FUR22" s="2"/>
      <c r="FUS22" s="2"/>
      <c r="FUT22" s="2"/>
      <c r="FUU22" s="2"/>
      <c r="FUV22" s="2"/>
      <c r="FUW22" s="2"/>
      <c r="FUX22" s="2"/>
      <c r="FUY22" s="2"/>
      <c r="FUZ22" s="2"/>
      <c r="FVA22" s="2"/>
      <c r="FVB22" s="2"/>
      <c r="FVC22" s="2"/>
      <c r="FVD22" s="2"/>
      <c r="FVE22" s="2"/>
      <c r="FVF22" s="2"/>
      <c r="FVG22" s="2"/>
      <c r="FVH22" s="2"/>
      <c r="FVI22" s="2"/>
      <c r="FVJ22" s="2"/>
      <c r="FVK22" s="2"/>
      <c r="FVL22" s="2"/>
      <c r="FVM22" s="2"/>
      <c r="FVN22" s="2"/>
      <c r="FVO22" s="2"/>
      <c r="FVP22" s="2"/>
      <c r="FVQ22" s="2"/>
      <c r="FVR22" s="2"/>
      <c r="FVS22" s="2"/>
      <c r="FVT22" s="2"/>
      <c r="FVU22" s="2"/>
      <c r="FVV22" s="2"/>
      <c r="FVW22" s="2"/>
      <c r="FVX22" s="2"/>
      <c r="FVY22" s="2"/>
      <c r="FVZ22" s="2"/>
      <c r="FWA22" s="2"/>
      <c r="FWB22" s="2"/>
      <c r="FWC22" s="2"/>
      <c r="FWD22" s="2"/>
      <c r="FWE22" s="2"/>
      <c r="FWF22" s="2"/>
      <c r="FWG22" s="2"/>
      <c r="FWH22" s="2"/>
      <c r="FWI22" s="2"/>
      <c r="FWJ22" s="2"/>
      <c r="FWK22" s="2"/>
      <c r="FWL22" s="2"/>
      <c r="FWM22" s="2"/>
      <c r="FWN22" s="2"/>
      <c r="FWO22" s="2"/>
      <c r="FWP22" s="2"/>
      <c r="FWQ22" s="2"/>
      <c r="FWR22" s="2"/>
      <c r="FWS22" s="2"/>
      <c r="FWT22" s="2"/>
      <c r="FWU22" s="2"/>
      <c r="FWV22" s="2"/>
      <c r="FWW22" s="2"/>
      <c r="FWX22" s="2"/>
      <c r="FWY22" s="2"/>
      <c r="FWZ22" s="2"/>
      <c r="FXA22" s="2"/>
      <c r="FXB22" s="2"/>
      <c r="FXC22" s="2"/>
      <c r="FXD22" s="2"/>
      <c r="FXE22" s="2"/>
      <c r="FXF22" s="2"/>
      <c r="FXG22" s="2"/>
      <c r="FXH22" s="2"/>
      <c r="FXI22" s="2"/>
      <c r="FXJ22" s="2"/>
      <c r="FXK22" s="2"/>
      <c r="FXL22" s="2"/>
      <c r="FXM22" s="2"/>
      <c r="FXN22" s="2"/>
      <c r="FXO22" s="2"/>
      <c r="FXP22" s="2"/>
      <c r="FXQ22" s="2"/>
      <c r="FXR22" s="2"/>
      <c r="FXS22" s="2"/>
      <c r="FXT22" s="2"/>
      <c r="FXU22" s="2"/>
      <c r="FXV22" s="2"/>
      <c r="FXW22" s="2"/>
      <c r="FXX22" s="2"/>
      <c r="FXY22" s="2"/>
      <c r="FXZ22" s="2"/>
      <c r="FYA22" s="2"/>
      <c r="FYB22" s="2"/>
      <c r="FYC22" s="2"/>
      <c r="FYD22" s="2"/>
      <c r="FYE22" s="2"/>
      <c r="FYF22" s="2"/>
      <c r="FYG22" s="2"/>
      <c r="FYH22" s="2"/>
      <c r="FYI22" s="2"/>
      <c r="FYJ22" s="2"/>
      <c r="FYK22" s="2"/>
      <c r="FYL22" s="2"/>
      <c r="FYM22" s="2"/>
      <c r="FYN22" s="2"/>
      <c r="FYO22" s="2"/>
      <c r="FYP22" s="2"/>
      <c r="FYQ22" s="2"/>
      <c r="FYR22" s="2"/>
      <c r="FYS22" s="2"/>
      <c r="FYT22" s="2"/>
      <c r="FYU22" s="2"/>
      <c r="FYV22" s="2"/>
      <c r="FYW22" s="2"/>
      <c r="FYX22" s="2"/>
      <c r="FYY22" s="2"/>
      <c r="FYZ22" s="2"/>
      <c r="FZA22" s="2"/>
      <c r="FZB22" s="2"/>
      <c r="FZC22" s="2"/>
      <c r="FZD22" s="2"/>
      <c r="FZE22" s="2"/>
      <c r="FZF22" s="2"/>
      <c r="FZG22" s="2"/>
      <c r="FZH22" s="2"/>
      <c r="FZI22" s="2"/>
      <c r="FZJ22" s="2"/>
      <c r="FZK22" s="2"/>
      <c r="FZL22" s="2"/>
      <c r="FZM22" s="2"/>
      <c r="FZN22" s="2"/>
      <c r="FZO22" s="2"/>
      <c r="FZP22" s="2"/>
      <c r="FZQ22" s="2"/>
      <c r="FZR22" s="2"/>
      <c r="FZS22" s="2"/>
      <c r="FZT22" s="2"/>
      <c r="FZU22" s="2"/>
      <c r="FZV22" s="2"/>
      <c r="FZW22" s="2"/>
      <c r="FZX22" s="2"/>
      <c r="FZY22" s="2"/>
      <c r="FZZ22" s="2"/>
      <c r="GAA22" s="2"/>
      <c r="GAB22" s="2"/>
      <c r="GAC22" s="2"/>
      <c r="GAD22" s="2"/>
      <c r="GAE22" s="2"/>
      <c r="GAF22" s="2"/>
      <c r="GAG22" s="2"/>
      <c r="GAH22" s="2"/>
      <c r="GAI22" s="2"/>
      <c r="GAJ22" s="2"/>
      <c r="GAK22" s="2"/>
      <c r="GAL22" s="2"/>
      <c r="GAM22" s="2"/>
      <c r="GAN22" s="2"/>
      <c r="GAO22" s="2"/>
      <c r="GAP22" s="2"/>
      <c r="GAQ22" s="2"/>
      <c r="GAR22" s="2"/>
      <c r="GAS22" s="2"/>
      <c r="GAT22" s="2"/>
      <c r="GAU22" s="2"/>
      <c r="GAV22" s="2"/>
      <c r="GAW22" s="2"/>
      <c r="GAX22" s="2"/>
      <c r="GAY22" s="2"/>
      <c r="GAZ22" s="2"/>
      <c r="GBA22" s="2"/>
      <c r="GBB22" s="2"/>
      <c r="GBC22" s="2"/>
      <c r="GBD22" s="2"/>
      <c r="GBE22" s="2"/>
      <c r="GBF22" s="2"/>
      <c r="GBG22" s="2"/>
      <c r="GBH22" s="2"/>
      <c r="GBI22" s="2"/>
      <c r="GBJ22" s="2"/>
      <c r="GBK22" s="2"/>
      <c r="GBL22" s="2"/>
      <c r="GBM22" s="2"/>
      <c r="GBN22" s="2"/>
      <c r="GBO22" s="2"/>
      <c r="GBP22" s="2"/>
      <c r="GBQ22" s="2"/>
      <c r="GBR22" s="2"/>
      <c r="GBS22" s="2"/>
      <c r="GBT22" s="2"/>
      <c r="GBU22" s="2"/>
      <c r="GBV22" s="2"/>
      <c r="GBW22" s="2"/>
      <c r="GBX22" s="2"/>
      <c r="GBY22" s="2"/>
      <c r="GBZ22" s="2"/>
      <c r="GCA22" s="2"/>
      <c r="GCB22" s="2"/>
      <c r="GCC22" s="2"/>
      <c r="GCD22" s="2"/>
      <c r="GCE22" s="2"/>
      <c r="GCF22" s="2"/>
      <c r="GCG22" s="2"/>
      <c r="GCH22" s="2"/>
      <c r="GCI22" s="2"/>
      <c r="GCJ22" s="2"/>
      <c r="GCK22" s="2"/>
      <c r="GCL22" s="2"/>
      <c r="GCM22" s="2"/>
      <c r="GCN22" s="2"/>
      <c r="GCO22" s="2"/>
      <c r="GCP22" s="2"/>
      <c r="GCQ22" s="2"/>
      <c r="GCR22" s="2"/>
      <c r="GCS22" s="2"/>
      <c r="GCT22" s="2"/>
      <c r="GCU22" s="2"/>
      <c r="GCV22" s="2"/>
      <c r="GCW22" s="2"/>
      <c r="GCX22" s="2"/>
      <c r="GCY22" s="2"/>
      <c r="GCZ22" s="2"/>
      <c r="GDA22" s="2"/>
      <c r="GDB22" s="2"/>
      <c r="GDC22" s="2"/>
      <c r="GDD22" s="2"/>
      <c r="GDE22" s="2"/>
      <c r="GDF22" s="2"/>
      <c r="GDG22" s="2"/>
      <c r="GDH22" s="2"/>
      <c r="GDI22" s="2"/>
      <c r="GDJ22" s="2"/>
      <c r="GDK22" s="2"/>
      <c r="GDL22" s="2"/>
      <c r="GDM22" s="2"/>
      <c r="GDN22" s="2"/>
      <c r="GDO22" s="2"/>
      <c r="GDP22" s="2"/>
      <c r="GDQ22" s="2"/>
      <c r="GDR22" s="2"/>
      <c r="GDS22" s="2"/>
      <c r="GDT22" s="2"/>
      <c r="GDU22" s="2"/>
      <c r="GDV22" s="2"/>
      <c r="GDW22" s="2"/>
      <c r="GDX22" s="2"/>
      <c r="GDY22" s="2"/>
      <c r="GDZ22" s="2"/>
      <c r="GEA22" s="2"/>
      <c r="GEB22" s="2"/>
      <c r="GEC22" s="2"/>
      <c r="GED22" s="2"/>
      <c r="GEE22" s="2"/>
      <c r="GEF22" s="2"/>
      <c r="GEG22" s="2"/>
      <c r="GEH22" s="2"/>
      <c r="GEI22" s="2"/>
      <c r="GEJ22" s="2"/>
      <c r="GEK22" s="2"/>
      <c r="GEL22" s="2"/>
      <c r="GEM22" s="2"/>
      <c r="GEN22" s="2"/>
      <c r="GEO22" s="2"/>
      <c r="GEP22" s="2"/>
      <c r="GEQ22" s="2"/>
      <c r="GER22" s="2"/>
      <c r="GES22" s="2"/>
      <c r="GET22" s="2"/>
      <c r="GEU22" s="2"/>
      <c r="GEV22" s="2"/>
      <c r="GEW22" s="2"/>
      <c r="GEX22" s="2"/>
      <c r="GEY22" s="2"/>
      <c r="GEZ22" s="2"/>
      <c r="GFA22" s="2"/>
      <c r="GFB22" s="2"/>
      <c r="GFC22" s="2"/>
      <c r="GFD22" s="2"/>
      <c r="GFE22" s="2"/>
      <c r="GFF22" s="2"/>
      <c r="GFG22" s="2"/>
      <c r="GFH22" s="2"/>
      <c r="GFI22" s="2"/>
      <c r="GFJ22" s="2"/>
      <c r="GFK22" s="2"/>
      <c r="GFL22" s="2"/>
      <c r="GFM22" s="2"/>
      <c r="GFN22" s="2"/>
      <c r="GFO22" s="2"/>
      <c r="GFP22" s="2"/>
      <c r="GFQ22" s="2"/>
      <c r="GFR22" s="2"/>
      <c r="GFS22" s="2"/>
      <c r="GFT22" s="2"/>
      <c r="GFU22" s="2"/>
      <c r="GFV22" s="2"/>
      <c r="GFW22" s="2"/>
      <c r="GFX22" s="2"/>
      <c r="GFY22" s="2"/>
      <c r="GFZ22" s="2"/>
      <c r="GGA22" s="2"/>
      <c r="GGB22" s="2"/>
      <c r="GGC22" s="2"/>
      <c r="GGD22" s="2"/>
      <c r="GGE22" s="2"/>
      <c r="GGF22" s="2"/>
      <c r="GGG22" s="2"/>
      <c r="GGH22" s="2"/>
      <c r="GGI22" s="2"/>
      <c r="GGJ22" s="2"/>
      <c r="GGK22" s="2"/>
      <c r="GGL22" s="2"/>
      <c r="GGM22" s="2"/>
      <c r="GGN22" s="2"/>
      <c r="GGO22" s="2"/>
      <c r="GGP22" s="2"/>
      <c r="GGQ22" s="2"/>
      <c r="GGR22" s="2"/>
      <c r="GGS22" s="2"/>
      <c r="GGT22" s="2"/>
      <c r="GGU22" s="2"/>
      <c r="GGV22" s="2"/>
      <c r="GGW22" s="2"/>
      <c r="GGX22" s="2"/>
      <c r="GGY22" s="2"/>
      <c r="GGZ22" s="2"/>
      <c r="GHA22" s="2"/>
      <c r="GHB22" s="2"/>
      <c r="GHC22" s="2"/>
      <c r="GHD22" s="2"/>
      <c r="GHE22" s="2"/>
      <c r="GHF22" s="2"/>
      <c r="GHG22" s="2"/>
      <c r="GHH22" s="2"/>
      <c r="GHI22" s="2"/>
      <c r="GHJ22" s="2"/>
      <c r="GHK22" s="2"/>
      <c r="GHL22" s="2"/>
      <c r="GHM22" s="2"/>
      <c r="GHN22" s="2"/>
      <c r="GHO22" s="2"/>
      <c r="GHP22" s="2"/>
      <c r="GHQ22" s="2"/>
      <c r="GHR22" s="2"/>
      <c r="GHS22" s="2"/>
      <c r="GHT22" s="2"/>
      <c r="GHU22" s="2"/>
      <c r="GHV22" s="2"/>
      <c r="GHW22" s="2"/>
      <c r="GHX22" s="2"/>
      <c r="GHY22" s="2"/>
      <c r="GHZ22" s="2"/>
      <c r="GIA22" s="2"/>
      <c r="GIB22" s="2"/>
      <c r="GIC22" s="2"/>
      <c r="GID22" s="2"/>
      <c r="GIE22" s="2"/>
      <c r="GIF22" s="2"/>
      <c r="GIG22" s="2"/>
      <c r="GIH22" s="2"/>
      <c r="GII22" s="2"/>
      <c r="GIJ22" s="2"/>
      <c r="GIK22" s="2"/>
      <c r="GIL22" s="2"/>
      <c r="GIM22" s="2"/>
      <c r="GIN22" s="2"/>
      <c r="GIO22" s="2"/>
      <c r="GIP22" s="2"/>
      <c r="GIQ22" s="2"/>
      <c r="GIR22" s="2"/>
      <c r="GIS22" s="2"/>
      <c r="GIT22" s="2"/>
      <c r="GIU22" s="2"/>
      <c r="GIV22" s="2"/>
      <c r="GIW22" s="2"/>
      <c r="GIX22" s="2"/>
      <c r="GIY22" s="2"/>
      <c r="GIZ22" s="2"/>
      <c r="GJA22" s="2"/>
      <c r="GJB22" s="2"/>
      <c r="GJC22" s="2"/>
      <c r="GJD22" s="2"/>
      <c r="GJE22" s="2"/>
      <c r="GJF22" s="2"/>
      <c r="GJG22" s="2"/>
      <c r="GJH22" s="2"/>
      <c r="GJI22" s="2"/>
      <c r="GJJ22" s="2"/>
      <c r="GJK22" s="2"/>
      <c r="GJL22" s="2"/>
      <c r="GJM22" s="2"/>
      <c r="GJN22" s="2"/>
      <c r="GJO22" s="2"/>
      <c r="GJP22" s="2"/>
      <c r="GJQ22" s="2"/>
      <c r="GJR22" s="2"/>
      <c r="GJS22" s="2"/>
      <c r="GJT22" s="2"/>
      <c r="GJU22" s="2"/>
      <c r="GJV22" s="2"/>
      <c r="GJW22" s="2"/>
      <c r="GJX22" s="2"/>
      <c r="GJY22" s="2"/>
      <c r="GJZ22" s="2"/>
      <c r="GKA22" s="2"/>
      <c r="GKB22" s="2"/>
      <c r="GKC22" s="2"/>
      <c r="GKD22" s="2"/>
      <c r="GKE22" s="2"/>
      <c r="GKF22" s="2"/>
      <c r="GKG22" s="2"/>
      <c r="GKH22" s="2"/>
      <c r="GKI22" s="2"/>
      <c r="GKJ22" s="2"/>
      <c r="GKK22" s="2"/>
      <c r="GKL22" s="2"/>
      <c r="GKM22" s="2"/>
      <c r="GKN22" s="2"/>
      <c r="GKO22" s="2"/>
      <c r="GKP22" s="2"/>
      <c r="GKQ22" s="2"/>
      <c r="GKR22" s="2"/>
      <c r="GKS22" s="2"/>
      <c r="GKT22" s="2"/>
      <c r="GKU22" s="2"/>
      <c r="GKV22" s="2"/>
      <c r="GKW22" s="2"/>
      <c r="GKX22" s="2"/>
      <c r="GKY22" s="2"/>
      <c r="GKZ22" s="2"/>
      <c r="GLA22" s="2"/>
      <c r="GLB22" s="2"/>
      <c r="GLC22" s="2"/>
      <c r="GLD22" s="2"/>
      <c r="GLE22" s="2"/>
      <c r="GLF22" s="2"/>
      <c r="GLG22" s="2"/>
      <c r="GLH22" s="2"/>
      <c r="GLI22" s="2"/>
      <c r="GLJ22" s="2"/>
      <c r="GLK22" s="2"/>
      <c r="GLL22" s="2"/>
      <c r="GLM22" s="2"/>
      <c r="GLN22" s="2"/>
      <c r="GLO22" s="2"/>
      <c r="GLP22" s="2"/>
      <c r="GLQ22" s="2"/>
      <c r="GLR22" s="2"/>
      <c r="GLS22" s="2"/>
      <c r="GLT22" s="2"/>
      <c r="GLU22" s="2"/>
      <c r="GLV22" s="2"/>
      <c r="GLW22" s="2"/>
      <c r="GLX22" s="2"/>
      <c r="GLY22" s="2"/>
      <c r="GLZ22" s="2"/>
      <c r="GMA22" s="2"/>
      <c r="GMB22" s="2"/>
      <c r="GMC22" s="2"/>
      <c r="GMD22" s="2"/>
      <c r="GME22" s="2"/>
      <c r="GMF22" s="2"/>
      <c r="GMG22" s="2"/>
      <c r="GMH22" s="2"/>
      <c r="GMI22" s="2"/>
      <c r="GMJ22" s="2"/>
      <c r="GMK22" s="2"/>
      <c r="GML22" s="2"/>
      <c r="GMM22" s="2"/>
      <c r="GMN22" s="2"/>
      <c r="GMO22" s="2"/>
      <c r="GMP22" s="2"/>
      <c r="GMQ22" s="2"/>
      <c r="GMR22" s="2"/>
      <c r="GMS22" s="2"/>
      <c r="GMT22" s="2"/>
      <c r="GMU22" s="2"/>
      <c r="GMV22" s="2"/>
      <c r="GMW22" s="2"/>
      <c r="GMX22" s="2"/>
      <c r="GMY22" s="2"/>
      <c r="GMZ22" s="2"/>
      <c r="GNA22" s="2"/>
      <c r="GNB22" s="2"/>
      <c r="GNC22" s="2"/>
      <c r="GND22" s="2"/>
      <c r="GNE22" s="2"/>
      <c r="GNF22" s="2"/>
      <c r="GNG22" s="2"/>
      <c r="GNH22" s="2"/>
      <c r="GNI22" s="2"/>
      <c r="GNJ22" s="2"/>
      <c r="GNK22" s="2"/>
      <c r="GNL22" s="2"/>
      <c r="GNM22" s="2"/>
      <c r="GNN22" s="2"/>
      <c r="GNO22" s="2"/>
      <c r="GNP22" s="2"/>
      <c r="GNQ22" s="2"/>
      <c r="GNR22" s="2"/>
      <c r="GNS22" s="2"/>
      <c r="GNT22" s="2"/>
      <c r="GNU22" s="2"/>
      <c r="GNV22" s="2"/>
      <c r="GNW22" s="2"/>
      <c r="GNX22" s="2"/>
      <c r="GNY22" s="2"/>
      <c r="GNZ22" s="2"/>
      <c r="GOA22" s="2"/>
      <c r="GOB22" s="2"/>
      <c r="GOC22" s="2"/>
      <c r="GOD22" s="2"/>
      <c r="GOE22" s="2"/>
      <c r="GOF22" s="2"/>
      <c r="GOG22" s="2"/>
      <c r="GOH22" s="2"/>
      <c r="GOI22" s="2"/>
      <c r="GOJ22" s="2"/>
      <c r="GOK22" s="2"/>
      <c r="GOL22" s="2"/>
      <c r="GOM22" s="2"/>
      <c r="GON22" s="2"/>
      <c r="GOO22" s="2"/>
      <c r="GOP22" s="2"/>
      <c r="GOQ22" s="2"/>
      <c r="GOR22" s="2"/>
      <c r="GOS22" s="2"/>
      <c r="GOT22" s="2"/>
      <c r="GOU22" s="2"/>
      <c r="GOV22" s="2"/>
      <c r="GOW22" s="2"/>
      <c r="GOX22" s="2"/>
      <c r="GOY22" s="2"/>
      <c r="GOZ22" s="2"/>
      <c r="GPA22" s="2"/>
      <c r="GPB22" s="2"/>
      <c r="GPC22" s="2"/>
      <c r="GPD22" s="2"/>
      <c r="GPE22" s="2"/>
      <c r="GPF22" s="2"/>
      <c r="GPG22" s="2"/>
      <c r="GPH22" s="2"/>
      <c r="GPI22" s="2"/>
      <c r="GPJ22" s="2"/>
      <c r="GPK22" s="2"/>
      <c r="GPL22" s="2"/>
      <c r="GPM22" s="2"/>
      <c r="GPN22" s="2"/>
      <c r="GPO22" s="2"/>
      <c r="GPP22" s="2"/>
      <c r="GPQ22" s="2"/>
      <c r="GPR22" s="2"/>
      <c r="GPS22" s="2"/>
      <c r="GPT22" s="2"/>
      <c r="GPU22" s="2"/>
      <c r="GPV22" s="2"/>
      <c r="GPW22" s="2"/>
      <c r="GPX22" s="2"/>
      <c r="GPY22" s="2"/>
      <c r="GPZ22" s="2"/>
      <c r="GQA22" s="2"/>
      <c r="GQB22" s="2"/>
      <c r="GQC22" s="2"/>
      <c r="GQD22" s="2"/>
      <c r="GQE22" s="2"/>
      <c r="GQF22" s="2"/>
      <c r="GQG22" s="2"/>
      <c r="GQH22" s="2"/>
      <c r="GQI22" s="2"/>
      <c r="GQJ22" s="2"/>
      <c r="GQK22" s="2"/>
      <c r="GQL22" s="2"/>
      <c r="GQM22" s="2"/>
      <c r="GQN22" s="2"/>
      <c r="GQO22" s="2"/>
      <c r="GQP22" s="2"/>
      <c r="GQQ22" s="2"/>
      <c r="GQR22" s="2"/>
      <c r="GQS22" s="2"/>
      <c r="GQT22" s="2"/>
      <c r="GQU22" s="2"/>
      <c r="GQV22" s="2"/>
      <c r="GQW22" s="2"/>
      <c r="GQX22" s="2"/>
      <c r="GQY22" s="2"/>
      <c r="GQZ22" s="2"/>
      <c r="GRA22" s="2"/>
      <c r="GRB22" s="2"/>
      <c r="GRC22" s="2"/>
      <c r="GRD22" s="2"/>
      <c r="GRE22" s="2"/>
      <c r="GRF22" s="2"/>
      <c r="GRG22" s="2"/>
      <c r="GRH22" s="2"/>
      <c r="GRI22" s="2"/>
      <c r="GRJ22" s="2"/>
      <c r="GRK22" s="2"/>
      <c r="GRL22" s="2"/>
      <c r="GRM22" s="2"/>
      <c r="GRN22" s="2"/>
      <c r="GRO22" s="2"/>
      <c r="GRP22" s="2"/>
      <c r="GRQ22" s="2"/>
      <c r="GRR22" s="2"/>
      <c r="GRS22" s="2"/>
      <c r="GRT22" s="2"/>
      <c r="GRU22" s="2"/>
      <c r="GRV22" s="2"/>
      <c r="GRW22" s="2"/>
      <c r="GRX22" s="2"/>
      <c r="GRY22" s="2"/>
      <c r="GRZ22" s="2"/>
      <c r="GSA22" s="2"/>
      <c r="GSB22" s="2"/>
      <c r="GSC22" s="2"/>
      <c r="GSD22" s="2"/>
      <c r="GSE22" s="2"/>
      <c r="GSF22" s="2"/>
      <c r="GSG22" s="2"/>
      <c r="GSH22" s="2"/>
      <c r="GSI22" s="2"/>
      <c r="GSJ22" s="2"/>
      <c r="GSK22" s="2"/>
      <c r="GSL22" s="2"/>
      <c r="GSM22" s="2"/>
      <c r="GSN22" s="2"/>
      <c r="GSO22" s="2"/>
      <c r="GSP22" s="2"/>
      <c r="GSQ22" s="2"/>
      <c r="GSR22" s="2"/>
      <c r="GSS22" s="2"/>
      <c r="GST22" s="2"/>
      <c r="GSU22" s="2"/>
      <c r="GSV22" s="2"/>
      <c r="GSW22" s="2"/>
      <c r="GSX22" s="2"/>
      <c r="GSY22" s="2"/>
      <c r="GSZ22" s="2"/>
      <c r="GTA22" s="2"/>
      <c r="GTB22" s="2"/>
      <c r="GTC22" s="2"/>
      <c r="GTD22" s="2"/>
      <c r="GTE22" s="2"/>
      <c r="GTF22" s="2"/>
      <c r="GTG22" s="2"/>
      <c r="GTH22" s="2"/>
      <c r="GTI22" s="2"/>
      <c r="GTJ22" s="2"/>
      <c r="GTK22" s="2"/>
      <c r="GTL22" s="2"/>
      <c r="GTM22" s="2"/>
      <c r="GTN22" s="2"/>
      <c r="GTO22" s="2"/>
      <c r="GTP22" s="2"/>
      <c r="GTQ22" s="2"/>
      <c r="GTR22" s="2"/>
      <c r="GTS22" s="2"/>
      <c r="GTT22" s="2"/>
      <c r="GTU22" s="2"/>
      <c r="GTV22" s="2"/>
      <c r="GTW22" s="2"/>
      <c r="GTX22" s="2"/>
      <c r="GTY22" s="2"/>
      <c r="GTZ22" s="2"/>
      <c r="GUA22" s="2"/>
      <c r="GUB22" s="2"/>
      <c r="GUC22" s="2"/>
      <c r="GUD22" s="2"/>
      <c r="GUE22" s="2"/>
      <c r="GUF22" s="2"/>
      <c r="GUG22" s="2"/>
      <c r="GUH22" s="2"/>
      <c r="GUI22" s="2"/>
      <c r="GUJ22" s="2"/>
      <c r="GUK22" s="2"/>
      <c r="GUL22" s="2"/>
      <c r="GUM22" s="2"/>
      <c r="GUN22" s="2"/>
      <c r="GUO22" s="2"/>
      <c r="GUP22" s="2"/>
      <c r="GUQ22" s="2"/>
      <c r="GUR22" s="2"/>
      <c r="GUS22" s="2"/>
      <c r="GUT22" s="2"/>
      <c r="GUU22" s="2"/>
      <c r="GUV22" s="2"/>
      <c r="GUW22" s="2"/>
      <c r="GUX22" s="2"/>
      <c r="GUY22" s="2"/>
      <c r="GUZ22" s="2"/>
      <c r="GVA22" s="2"/>
      <c r="GVB22" s="2"/>
      <c r="GVC22" s="2"/>
      <c r="GVD22" s="2"/>
      <c r="GVE22" s="2"/>
      <c r="GVF22" s="2"/>
      <c r="GVG22" s="2"/>
      <c r="GVH22" s="2"/>
      <c r="GVI22" s="2"/>
      <c r="GVJ22" s="2"/>
      <c r="GVK22" s="2"/>
      <c r="GVL22" s="2"/>
      <c r="GVM22" s="2"/>
      <c r="GVN22" s="2"/>
      <c r="GVO22" s="2"/>
      <c r="GVP22" s="2"/>
      <c r="GVQ22" s="2"/>
      <c r="GVR22" s="2"/>
      <c r="GVS22" s="2"/>
      <c r="GVT22" s="2"/>
      <c r="GVU22" s="2"/>
      <c r="GVV22" s="2"/>
      <c r="GVW22" s="2"/>
      <c r="GVX22" s="2"/>
      <c r="GVY22" s="2"/>
      <c r="GVZ22" s="2"/>
      <c r="GWA22" s="2"/>
      <c r="GWB22" s="2"/>
      <c r="GWC22" s="2"/>
      <c r="GWD22" s="2"/>
      <c r="GWE22" s="2"/>
      <c r="GWF22" s="2"/>
      <c r="GWG22" s="2"/>
      <c r="GWH22" s="2"/>
      <c r="GWI22" s="2"/>
      <c r="GWJ22" s="2"/>
      <c r="GWK22" s="2"/>
      <c r="GWL22" s="2"/>
      <c r="GWM22" s="2"/>
      <c r="GWN22" s="2"/>
      <c r="GWO22" s="2"/>
      <c r="GWP22" s="2"/>
      <c r="GWQ22" s="2"/>
      <c r="GWR22" s="2"/>
      <c r="GWS22" s="2"/>
      <c r="GWT22" s="2"/>
      <c r="GWU22" s="2"/>
      <c r="GWV22" s="2"/>
      <c r="GWW22" s="2"/>
      <c r="GWX22" s="2"/>
      <c r="GWY22" s="2"/>
      <c r="GWZ22" s="2"/>
      <c r="GXA22" s="2"/>
      <c r="GXB22" s="2"/>
      <c r="GXC22" s="2"/>
      <c r="GXD22" s="2"/>
      <c r="GXE22" s="2"/>
      <c r="GXF22" s="2"/>
      <c r="GXG22" s="2"/>
      <c r="GXH22" s="2"/>
      <c r="GXI22" s="2"/>
      <c r="GXJ22" s="2"/>
      <c r="GXK22" s="2"/>
      <c r="GXL22" s="2"/>
      <c r="GXM22" s="2"/>
      <c r="GXN22" s="2"/>
      <c r="GXO22" s="2"/>
      <c r="GXP22" s="2"/>
      <c r="GXQ22" s="2"/>
      <c r="GXR22" s="2"/>
      <c r="GXS22" s="2"/>
      <c r="GXT22" s="2"/>
      <c r="GXU22" s="2"/>
      <c r="GXV22" s="2"/>
      <c r="GXW22" s="2"/>
      <c r="GXX22" s="2"/>
      <c r="GXY22" s="2"/>
      <c r="GXZ22" s="2"/>
      <c r="GYA22" s="2"/>
      <c r="GYB22" s="2"/>
      <c r="GYC22" s="2"/>
      <c r="GYD22" s="2"/>
      <c r="GYE22" s="2"/>
      <c r="GYF22" s="2"/>
      <c r="GYG22" s="2"/>
      <c r="GYH22" s="2"/>
      <c r="GYI22" s="2"/>
      <c r="GYJ22" s="2"/>
      <c r="GYK22" s="2"/>
      <c r="GYL22" s="2"/>
      <c r="GYM22" s="2"/>
      <c r="GYN22" s="2"/>
      <c r="GYO22" s="2"/>
      <c r="GYP22" s="2"/>
      <c r="GYQ22" s="2"/>
      <c r="GYR22" s="2"/>
      <c r="GYS22" s="2"/>
      <c r="GYT22" s="2"/>
      <c r="GYU22" s="2"/>
      <c r="GYV22" s="2"/>
      <c r="GYW22" s="2"/>
      <c r="GYX22" s="2"/>
      <c r="GYY22" s="2"/>
      <c r="GYZ22" s="2"/>
      <c r="GZA22" s="2"/>
      <c r="GZB22" s="2"/>
      <c r="GZC22" s="2"/>
      <c r="GZD22" s="2"/>
      <c r="GZE22" s="2"/>
      <c r="GZF22" s="2"/>
      <c r="GZG22" s="2"/>
      <c r="GZH22" s="2"/>
      <c r="GZI22" s="2"/>
      <c r="GZJ22" s="2"/>
      <c r="GZK22" s="2"/>
      <c r="GZL22" s="2"/>
      <c r="GZM22" s="2"/>
      <c r="GZN22" s="2"/>
      <c r="GZO22" s="2"/>
      <c r="GZP22" s="2"/>
      <c r="GZQ22" s="2"/>
      <c r="GZR22" s="2"/>
      <c r="GZS22" s="2"/>
      <c r="GZT22" s="2"/>
      <c r="GZU22" s="2"/>
      <c r="GZV22" s="2"/>
      <c r="GZW22" s="2"/>
      <c r="GZX22" s="2"/>
      <c r="GZY22" s="2"/>
      <c r="GZZ22" s="2"/>
      <c r="HAA22" s="2"/>
      <c r="HAB22" s="2"/>
      <c r="HAC22" s="2"/>
      <c r="HAD22" s="2"/>
      <c r="HAE22" s="2"/>
      <c r="HAF22" s="2"/>
      <c r="HAG22" s="2"/>
      <c r="HAH22" s="2"/>
      <c r="HAI22" s="2"/>
      <c r="HAJ22" s="2"/>
      <c r="HAK22" s="2"/>
      <c r="HAL22" s="2"/>
      <c r="HAM22" s="2"/>
      <c r="HAN22" s="2"/>
      <c r="HAO22" s="2"/>
      <c r="HAP22" s="2"/>
      <c r="HAQ22" s="2"/>
      <c r="HAR22" s="2"/>
      <c r="HAS22" s="2"/>
      <c r="HAT22" s="2"/>
      <c r="HAU22" s="2"/>
      <c r="HAV22" s="2"/>
      <c r="HAW22" s="2"/>
      <c r="HAX22" s="2"/>
      <c r="HAY22" s="2"/>
      <c r="HAZ22" s="2"/>
      <c r="HBA22" s="2"/>
      <c r="HBB22" s="2"/>
      <c r="HBC22" s="2"/>
      <c r="HBD22" s="2"/>
      <c r="HBE22" s="2"/>
      <c r="HBF22" s="2"/>
      <c r="HBG22" s="2"/>
      <c r="HBH22" s="2"/>
      <c r="HBI22" s="2"/>
      <c r="HBJ22" s="2"/>
      <c r="HBK22" s="2"/>
      <c r="HBL22" s="2"/>
      <c r="HBM22" s="2"/>
      <c r="HBN22" s="2"/>
      <c r="HBO22" s="2"/>
      <c r="HBP22" s="2"/>
      <c r="HBQ22" s="2"/>
      <c r="HBR22" s="2"/>
      <c r="HBS22" s="2"/>
      <c r="HBT22" s="2"/>
      <c r="HBU22" s="2"/>
      <c r="HBV22" s="2"/>
      <c r="HBW22" s="2"/>
      <c r="HBX22" s="2"/>
      <c r="HBY22" s="2"/>
      <c r="HBZ22" s="2"/>
      <c r="HCA22" s="2"/>
      <c r="HCB22" s="2"/>
      <c r="HCC22" s="2"/>
      <c r="HCD22" s="2"/>
      <c r="HCE22" s="2"/>
      <c r="HCF22" s="2"/>
      <c r="HCG22" s="2"/>
      <c r="HCH22" s="2"/>
      <c r="HCI22" s="2"/>
      <c r="HCJ22" s="2"/>
      <c r="HCK22" s="2"/>
      <c r="HCL22" s="2"/>
      <c r="HCM22" s="2"/>
      <c r="HCN22" s="2"/>
      <c r="HCO22" s="2"/>
      <c r="HCP22" s="2"/>
      <c r="HCQ22" s="2"/>
      <c r="HCR22" s="2"/>
      <c r="HCS22" s="2"/>
      <c r="HCT22" s="2"/>
      <c r="HCU22" s="2"/>
      <c r="HCV22" s="2"/>
      <c r="HCW22" s="2"/>
      <c r="HCX22" s="2"/>
      <c r="HCY22" s="2"/>
      <c r="HCZ22" s="2"/>
      <c r="HDA22" s="2"/>
      <c r="HDB22" s="2"/>
      <c r="HDC22" s="2"/>
      <c r="HDD22" s="2"/>
      <c r="HDE22" s="2"/>
      <c r="HDF22" s="2"/>
      <c r="HDG22" s="2"/>
      <c r="HDH22" s="2"/>
      <c r="HDI22" s="2"/>
      <c r="HDJ22" s="2"/>
      <c r="HDK22" s="2"/>
      <c r="HDL22" s="2"/>
      <c r="HDM22" s="2"/>
      <c r="HDN22" s="2"/>
      <c r="HDO22" s="2"/>
      <c r="HDP22" s="2"/>
      <c r="HDQ22" s="2"/>
      <c r="HDR22" s="2"/>
      <c r="HDS22" s="2"/>
      <c r="HDT22" s="2"/>
      <c r="HDU22" s="2"/>
      <c r="HDV22" s="2"/>
      <c r="HDW22" s="2"/>
      <c r="HDX22" s="2"/>
      <c r="HDY22" s="2"/>
      <c r="HDZ22" s="2"/>
      <c r="HEA22" s="2"/>
      <c r="HEB22" s="2"/>
      <c r="HEC22" s="2"/>
      <c r="HED22" s="2"/>
      <c r="HEE22" s="2"/>
      <c r="HEF22" s="2"/>
      <c r="HEG22" s="2"/>
      <c r="HEH22" s="2"/>
      <c r="HEI22" s="2"/>
      <c r="HEJ22" s="2"/>
      <c r="HEK22" s="2"/>
      <c r="HEL22" s="2"/>
      <c r="HEM22" s="2"/>
      <c r="HEN22" s="2"/>
      <c r="HEO22" s="2"/>
      <c r="HEP22" s="2"/>
      <c r="HEQ22" s="2"/>
      <c r="HER22" s="2"/>
      <c r="HES22" s="2"/>
      <c r="HET22" s="2"/>
      <c r="HEU22" s="2"/>
      <c r="HEV22" s="2"/>
      <c r="HEW22" s="2"/>
      <c r="HEX22" s="2"/>
      <c r="HEY22" s="2"/>
      <c r="HEZ22" s="2"/>
      <c r="HFA22" s="2"/>
      <c r="HFB22" s="2"/>
      <c r="HFC22" s="2"/>
      <c r="HFD22" s="2"/>
      <c r="HFE22" s="2"/>
      <c r="HFF22" s="2"/>
      <c r="HFG22" s="2"/>
      <c r="HFH22" s="2"/>
      <c r="HFI22" s="2"/>
      <c r="HFJ22" s="2"/>
      <c r="HFK22" s="2"/>
      <c r="HFL22" s="2"/>
      <c r="HFM22" s="2"/>
      <c r="HFN22" s="2"/>
      <c r="HFO22" s="2"/>
      <c r="HFP22" s="2"/>
      <c r="HFQ22" s="2"/>
      <c r="HFR22" s="2"/>
      <c r="HFS22" s="2"/>
      <c r="HFT22" s="2"/>
      <c r="HFU22" s="2"/>
      <c r="HFV22" s="2"/>
      <c r="HFW22" s="2"/>
      <c r="HFX22" s="2"/>
      <c r="HFY22" s="2"/>
      <c r="HFZ22" s="2"/>
      <c r="HGA22" s="2"/>
      <c r="HGB22" s="2"/>
      <c r="HGC22" s="2"/>
      <c r="HGD22" s="2"/>
      <c r="HGE22" s="2"/>
      <c r="HGF22" s="2"/>
      <c r="HGG22" s="2"/>
      <c r="HGH22" s="2"/>
      <c r="HGI22" s="2"/>
      <c r="HGJ22" s="2"/>
      <c r="HGK22" s="2"/>
      <c r="HGL22" s="2"/>
      <c r="HGM22" s="2"/>
      <c r="HGN22" s="2"/>
      <c r="HGO22" s="2"/>
      <c r="HGP22" s="2"/>
      <c r="HGQ22" s="2"/>
      <c r="HGR22" s="2"/>
      <c r="HGS22" s="2"/>
      <c r="HGT22" s="2"/>
      <c r="HGU22" s="2"/>
      <c r="HGV22" s="2"/>
      <c r="HGW22" s="2"/>
      <c r="HGX22" s="2"/>
      <c r="HGY22" s="2"/>
      <c r="HGZ22" s="2"/>
      <c r="HHA22" s="2"/>
      <c r="HHB22" s="2"/>
      <c r="HHC22" s="2"/>
      <c r="HHD22" s="2"/>
      <c r="HHE22" s="2"/>
      <c r="HHF22" s="2"/>
      <c r="HHG22" s="2"/>
      <c r="HHH22" s="2"/>
      <c r="HHI22" s="2"/>
      <c r="HHJ22" s="2"/>
      <c r="HHK22" s="2"/>
      <c r="HHL22" s="2"/>
      <c r="HHM22" s="2"/>
      <c r="HHN22" s="2"/>
      <c r="HHO22" s="2"/>
      <c r="HHP22" s="2"/>
      <c r="HHQ22" s="2"/>
      <c r="HHR22" s="2"/>
      <c r="HHS22" s="2"/>
      <c r="HHT22" s="2"/>
      <c r="HHU22" s="2"/>
      <c r="HHV22" s="2"/>
      <c r="HHW22" s="2"/>
      <c r="HHX22" s="2"/>
      <c r="HHY22" s="2"/>
      <c r="HHZ22" s="2"/>
      <c r="HIA22" s="2"/>
      <c r="HIB22" s="2"/>
      <c r="HIC22" s="2"/>
      <c r="HID22" s="2"/>
      <c r="HIE22" s="2"/>
      <c r="HIF22" s="2"/>
      <c r="HIG22" s="2"/>
      <c r="HIH22" s="2"/>
      <c r="HII22" s="2"/>
      <c r="HIJ22" s="2"/>
      <c r="HIK22" s="2"/>
      <c r="HIL22" s="2"/>
      <c r="HIM22" s="2"/>
      <c r="HIN22" s="2"/>
      <c r="HIO22" s="2"/>
      <c r="HIP22" s="2"/>
      <c r="HIQ22" s="2"/>
      <c r="HIR22" s="2"/>
      <c r="HIS22" s="2"/>
      <c r="HIT22" s="2"/>
      <c r="HIU22" s="2"/>
      <c r="HIV22" s="2"/>
      <c r="HIW22" s="2"/>
      <c r="HIX22" s="2"/>
      <c r="HIY22" s="2"/>
      <c r="HIZ22" s="2"/>
      <c r="HJA22" s="2"/>
      <c r="HJB22" s="2"/>
      <c r="HJC22" s="2"/>
      <c r="HJD22" s="2"/>
      <c r="HJE22" s="2"/>
      <c r="HJF22" s="2"/>
      <c r="HJG22" s="2"/>
      <c r="HJH22" s="2"/>
      <c r="HJI22" s="2"/>
      <c r="HJJ22" s="2"/>
      <c r="HJK22" s="2"/>
      <c r="HJL22" s="2"/>
      <c r="HJM22" s="2"/>
      <c r="HJN22" s="2"/>
      <c r="HJO22" s="2"/>
      <c r="HJP22" s="2"/>
      <c r="HJQ22" s="2"/>
      <c r="HJR22" s="2"/>
      <c r="HJS22" s="2"/>
      <c r="HJT22" s="2"/>
      <c r="HJU22" s="2"/>
      <c r="HJV22" s="2"/>
      <c r="HJW22" s="2"/>
      <c r="HJX22" s="2"/>
      <c r="HJY22" s="2"/>
      <c r="HJZ22" s="2"/>
      <c r="HKA22" s="2"/>
      <c r="HKB22" s="2"/>
      <c r="HKC22" s="2"/>
      <c r="HKD22" s="2"/>
      <c r="HKE22" s="2"/>
      <c r="HKF22" s="2"/>
      <c r="HKG22" s="2"/>
      <c r="HKH22" s="2"/>
      <c r="HKI22" s="2"/>
      <c r="HKJ22" s="2"/>
      <c r="HKK22" s="2"/>
      <c r="HKL22" s="2"/>
      <c r="HKM22" s="2"/>
      <c r="HKN22" s="2"/>
      <c r="HKO22" s="2"/>
      <c r="HKP22" s="2"/>
      <c r="HKQ22" s="2"/>
      <c r="HKR22" s="2"/>
      <c r="HKS22" s="2"/>
      <c r="HKT22" s="2"/>
      <c r="HKU22" s="2"/>
      <c r="HKV22" s="2"/>
      <c r="HKW22" s="2"/>
      <c r="HKX22" s="2"/>
      <c r="HKY22" s="2"/>
      <c r="HKZ22" s="2"/>
      <c r="HLA22" s="2"/>
      <c r="HLB22" s="2"/>
      <c r="HLC22" s="2"/>
      <c r="HLD22" s="2"/>
      <c r="HLE22" s="2"/>
      <c r="HLF22" s="2"/>
      <c r="HLG22" s="2"/>
      <c r="HLH22" s="2"/>
      <c r="HLI22" s="2"/>
      <c r="HLJ22" s="2"/>
      <c r="HLK22" s="2"/>
      <c r="HLL22" s="2"/>
      <c r="HLM22" s="2"/>
      <c r="HLN22" s="2"/>
      <c r="HLO22" s="2"/>
      <c r="HLP22" s="2"/>
      <c r="HLQ22" s="2"/>
      <c r="HLR22" s="2"/>
      <c r="HLS22" s="2"/>
      <c r="HLT22" s="2"/>
      <c r="HLU22" s="2"/>
      <c r="HLV22" s="2"/>
      <c r="HLW22" s="2"/>
      <c r="HLX22" s="2"/>
      <c r="HLY22" s="2"/>
      <c r="HLZ22" s="2"/>
      <c r="HMA22" s="2"/>
      <c r="HMB22" s="2"/>
      <c r="HMC22" s="2"/>
      <c r="HMD22" s="2"/>
      <c r="HME22" s="2"/>
      <c r="HMF22" s="2"/>
      <c r="HMG22" s="2"/>
      <c r="HMH22" s="2"/>
      <c r="HMI22" s="2"/>
      <c r="HMJ22" s="2"/>
      <c r="HMK22" s="2"/>
      <c r="HML22" s="2"/>
      <c r="HMM22" s="2"/>
      <c r="HMN22" s="2"/>
      <c r="HMO22" s="2"/>
      <c r="HMP22" s="2"/>
      <c r="HMQ22" s="2"/>
      <c r="HMR22" s="2"/>
      <c r="HMS22" s="2"/>
      <c r="HMT22" s="2"/>
      <c r="HMU22" s="2"/>
      <c r="HMV22" s="2"/>
      <c r="HMW22" s="2"/>
      <c r="HMX22" s="2"/>
      <c r="HMY22" s="2"/>
      <c r="HMZ22" s="2"/>
      <c r="HNA22" s="2"/>
      <c r="HNB22" s="2"/>
      <c r="HNC22" s="2"/>
      <c r="HND22" s="2"/>
      <c r="HNE22" s="2"/>
      <c r="HNF22" s="2"/>
      <c r="HNG22" s="2"/>
      <c r="HNH22" s="2"/>
      <c r="HNI22" s="2"/>
      <c r="HNJ22" s="2"/>
      <c r="HNK22" s="2"/>
      <c r="HNL22" s="2"/>
      <c r="HNM22" s="2"/>
      <c r="HNN22" s="2"/>
      <c r="HNO22" s="2"/>
      <c r="HNP22" s="2"/>
      <c r="HNQ22" s="2"/>
      <c r="HNR22" s="2"/>
      <c r="HNS22" s="2"/>
      <c r="HNT22" s="2"/>
      <c r="HNU22" s="2"/>
      <c r="HNV22" s="2"/>
      <c r="HNW22" s="2"/>
      <c r="HNX22" s="2"/>
      <c r="HNY22" s="2"/>
      <c r="HNZ22" s="2"/>
      <c r="HOA22" s="2"/>
      <c r="HOB22" s="2"/>
      <c r="HOC22" s="2"/>
      <c r="HOD22" s="2"/>
      <c r="HOE22" s="2"/>
      <c r="HOF22" s="2"/>
      <c r="HOG22" s="2"/>
      <c r="HOH22" s="2"/>
      <c r="HOI22" s="2"/>
      <c r="HOJ22" s="2"/>
      <c r="HOK22" s="2"/>
      <c r="HOL22" s="2"/>
      <c r="HOM22" s="2"/>
      <c r="HON22" s="2"/>
      <c r="HOO22" s="2"/>
      <c r="HOP22" s="2"/>
      <c r="HOQ22" s="2"/>
      <c r="HOR22" s="2"/>
      <c r="HOS22" s="2"/>
      <c r="HOT22" s="2"/>
      <c r="HOU22" s="2"/>
      <c r="HOV22" s="2"/>
      <c r="HOW22" s="2"/>
      <c r="HOX22" s="2"/>
      <c r="HOY22" s="2"/>
      <c r="HOZ22" s="2"/>
      <c r="HPA22" s="2"/>
      <c r="HPB22" s="2"/>
      <c r="HPC22" s="2"/>
      <c r="HPD22" s="2"/>
      <c r="HPE22" s="2"/>
      <c r="HPF22" s="2"/>
      <c r="HPG22" s="2"/>
      <c r="HPH22" s="2"/>
      <c r="HPI22" s="2"/>
      <c r="HPJ22" s="2"/>
      <c r="HPK22" s="2"/>
      <c r="HPL22" s="2"/>
      <c r="HPM22" s="2"/>
      <c r="HPN22" s="2"/>
      <c r="HPO22" s="2"/>
      <c r="HPP22" s="2"/>
      <c r="HPQ22" s="2"/>
      <c r="HPR22" s="2"/>
      <c r="HPS22" s="2"/>
      <c r="HPT22" s="2"/>
      <c r="HPU22" s="2"/>
      <c r="HPV22" s="2"/>
      <c r="HPW22" s="2"/>
      <c r="HPX22" s="2"/>
      <c r="HPY22" s="2"/>
      <c r="HPZ22" s="2"/>
      <c r="HQA22" s="2"/>
      <c r="HQB22" s="2"/>
      <c r="HQC22" s="2"/>
      <c r="HQD22" s="2"/>
      <c r="HQE22" s="2"/>
      <c r="HQF22" s="2"/>
      <c r="HQG22" s="2"/>
      <c r="HQH22" s="2"/>
      <c r="HQI22" s="2"/>
      <c r="HQJ22" s="2"/>
      <c r="HQK22" s="2"/>
      <c r="HQL22" s="2"/>
      <c r="HQM22" s="2"/>
      <c r="HQN22" s="2"/>
      <c r="HQO22" s="2"/>
      <c r="HQP22" s="2"/>
      <c r="HQQ22" s="2"/>
      <c r="HQR22" s="2"/>
      <c r="HQS22" s="2"/>
      <c r="HQT22" s="2"/>
      <c r="HQU22" s="2"/>
      <c r="HQV22" s="2"/>
      <c r="HQW22" s="2"/>
      <c r="HQX22" s="2"/>
      <c r="HQY22" s="2"/>
      <c r="HQZ22" s="2"/>
      <c r="HRA22" s="2"/>
      <c r="HRB22" s="2"/>
      <c r="HRC22" s="2"/>
      <c r="HRD22" s="2"/>
      <c r="HRE22" s="2"/>
      <c r="HRF22" s="2"/>
      <c r="HRG22" s="2"/>
      <c r="HRH22" s="2"/>
      <c r="HRI22" s="2"/>
      <c r="HRJ22" s="2"/>
      <c r="HRK22" s="2"/>
      <c r="HRL22" s="2"/>
      <c r="HRM22" s="2"/>
      <c r="HRN22" s="2"/>
      <c r="HRO22" s="2"/>
      <c r="HRP22" s="2"/>
      <c r="HRQ22" s="2"/>
      <c r="HRR22" s="2"/>
      <c r="HRS22" s="2"/>
      <c r="HRT22" s="2"/>
      <c r="HRU22" s="2"/>
      <c r="HRV22" s="2"/>
      <c r="HRW22" s="2"/>
      <c r="HRX22" s="2"/>
      <c r="HRY22" s="2"/>
      <c r="HRZ22" s="2"/>
      <c r="HSA22" s="2"/>
      <c r="HSB22" s="2"/>
      <c r="HSC22" s="2"/>
      <c r="HSD22" s="2"/>
      <c r="HSE22" s="2"/>
      <c r="HSF22" s="2"/>
      <c r="HSG22" s="2"/>
      <c r="HSH22" s="2"/>
      <c r="HSI22" s="2"/>
      <c r="HSJ22" s="2"/>
      <c r="HSK22" s="2"/>
      <c r="HSL22" s="2"/>
      <c r="HSM22" s="2"/>
      <c r="HSN22" s="2"/>
      <c r="HSO22" s="2"/>
      <c r="HSP22" s="2"/>
      <c r="HSQ22" s="2"/>
      <c r="HSR22" s="2"/>
      <c r="HSS22" s="2"/>
      <c r="HST22" s="2"/>
      <c r="HSU22" s="2"/>
      <c r="HSV22" s="2"/>
      <c r="HSW22" s="2"/>
      <c r="HSX22" s="2"/>
      <c r="HSY22" s="2"/>
      <c r="HSZ22" s="2"/>
      <c r="HTA22" s="2"/>
      <c r="HTB22" s="2"/>
      <c r="HTC22" s="2"/>
      <c r="HTD22" s="2"/>
      <c r="HTE22" s="2"/>
      <c r="HTF22" s="2"/>
      <c r="HTG22" s="2"/>
      <c r="HTH22" s="2"/>
      <c r="HTI22" s="2"/>
      <c r="HTJ22" s="2"/>
      <c r="HTK22" s="2"/>
      <c r="HTL22" s="2"/>
      <c r="HTM22" s="2"/>
      <c r="HTN22" s="2"/>
      <c r="HTO22" s="2"/>
      <c r="HTP22" s="2"/>
      <c r="HTQ22" s="2"/>
      <c r="HTR22" s="2"/>
      <c r="HTS22" s="2"/>
      <c r="HTT22" s="2"/>
      <c r="HTU22" s="2"/>
      <c r="HTV22" s="2"/>
      <c r="HTW22" s="2"/>
      <c r="HTX22" s="2"/>
      <c r="HTY22" s="2"/>
      <c r="HTZ22" s="2"/>
      <c r="HUA22" s="2"/>
      <c r="HUB22" s="2"/>
      <c r="HUC22" s="2"/>
      <c r="HUD22" s="2"/>
      <c r="HUE22" s="2"/>
      <c r="HUF22" s="2"/>
      <c r="HUG22" s="2"/>
      <c r="HUH22" s="2"/>
      <c r="HUI22" s="2"/>
      <c r="HUJ22" s="2"/>
      <c r="HUK22" s="2"/>
      <c r="HUL22" s="2"/>
      <c r="HUM22" s="2"/>
      <c r="HUN22" s="2"/>
      <c r="HUO22" s="2"/>
      <c r="HUP22" s="2"/>
      <c r="HUQ22" s="2"/>
      <c r="HUR22" s="2"/>
      <c r="HUS22" s="2"/>
      <c r="HUT22" s="2"/>
      <c r="HUU22" s="2"/>
      <c r="HUV22" s="2"/>
      <c r="HUW22" s="2"/>
      <c r="HUX22" s="2"/>
      <c r="HUY22" s="2"/>
      <c r="HUZ22" s="2"/>
      <c r="HVA22" s="2"/>
      <c r="HVB22" s="2"/>
      <c r="HVC22" s="2"/>
      <c r="HVD22" s="2"/>
      <c r="HVE22" s="2"/>
      <c r="HVF22" s="2"/>
      <c r="HVG22" s="2"/>
      <c r="HVH22" s="2"/>
      <c r="HVI22" s="2"/>
      <c r="HVJ22" s="2"/>
      <c r="HVK22" s="2"/>
      <c r="HVL22" s="2"/>
      <c r="HVM22" s="2"/>
      <c r="HVN22" s="2"/>
      <c r="HVO22" s="2"/>
      <c r="HVP22" s="2"/>
      <c r="HVQ22" s="2"/>
      <c r="HVR22" s="2"/>
      <c r="HVS22" s="2"/>
      <c r="HVT22" s="2"/>
      <c r="HVU22" s="2"/>
      <c r="HVV22" s="2"/>
      <c r="HVW22" s="2"/>
      <c r="HVX22" s="2"/>
      <c r="HVY22" s="2"/>
      <c r="HVZ22" s="2"/>
      <c r="HWA22" s="2"/>
      <c r="HWB22" s="2"/>
      <c r="HWC22" s="2"/>
      <c r="HWD22" s="2"/>
      <c r="HWE22" s="2"/>
      <c r="HWF22" s="2"/>
      <c r="HWG22" s="2"/>
      <c r="HWH22" s="2"/>
      <c r="HWI22" s="2"/>
      <c r="HWJ22" s="2"/>
      <c r="HWK22" s="2"/>
      <c r="HWL22" s="2"/>
      <c r="HWM22" s="2"/>
      <c r="HWN22" s="2"/>
      <c r="HWO22" s="2"/>
      <c r="HWP22" s="2"/>
      <c r="HWQ22" s="2"/>
      <c r="HWR22" s="2"/>
      <c r="HWS22" s="2"/>
      <c r="HWT22" s="2"/>
      <c r="HWU22" s="2"/>
      <c r="HWV22" s="2"/>
      <c r="HWW22" s="2"/>
      <c r="HWX22" s="2"/>
      <c r="HWY22" s="2"/>
      <c r="HWZ22" s="2"/>
      <c r="HXA22" s="2"/>
      <c r="HXB22" s="2"/>
      <c r="HXC22" s="2"/>
      <c r="HXD22" s="2"/>
      <c r="HXE22" s="2"/>
      <c r="HXF22" s="2"/>
      <c r="HXG22" s="2"/>
      <c r="HXH22" s="2"/>
      <c r="HXI22" s="2"/>
      <c r="HXJ22" s="2"/>
      <c r="HXK22" s="2"/>
      <c r="HXL22" s="2"/>
      <c r="HXM22" s="2"/>
      <c r="HXN22" s="2"/>
      <c r="HXO22" s="2"/>
      <c r="HXP22" s="2"/>
      <c r="HXQ22" s="2"/>
      <c r="HXR22" s="2"/>
      <c r="HXS22" s="2"/>
      <c r="HXT22" s="2"/>
      <c r="HXU22" s="2"/>
      <c r="HXV22" s="2"/>
      <c r="HXW22" s="2"/>
      <c r="HXX22" s="2"/>
      <c r="HXY22" s="2"/>
      <c r="HXZ22" s="2"/>
      <c r="HYA22" s="2"/>
      <c r="HYB22" s="2"/>
      <c r="HYC22" s="2"/>
      <c r="HYD22" s="2"/>
      <c r="HYE22" s="2"/>
      <c r="HYF22" s="2"/>
      <c r="HYG22" s="2"/>
      <c r="HYH22" s="2"/>
      <c r="HYI22" s="2"/>
      <c r="HYJ22" s="2"/>
      <c r="HYK22" s="2"/>
      <c r="HYL22" s="2"/>
      <c r="HYM22" s="2"/>
      <c r="HYN22" s="2"/>
      <c r="HYO22" s="2"/>
      <c r="HYP22" s="2"/>
      <c r="HYQ22" s="2"/>
      <c r="HYR22" s="2"/>
      <c r="HYS22" s="2"/>
      <c r="HYT22" s="2"/>
      <c r="HYU22" s="2"/>
      <c r="HYV22" s="2"/>
      <c r="HYW22" s="2"/>
      <c r="HYX22" s="2"/>
      <c r="HYY22" s="2"/>
      <c r="HYZ22" s="2"/>
      <c r="HZA22" s="2"/>
      <c r="HZB22" s="2"/>
      <c r="HZC22" s="2"/>
      <c r="HZD22" s="2"/>
      <c r="HZE22" s="2"/>
      <c r="HZF22" s="2"/>
      <c r="HZG22" s="2"/>
      <c r="HZH22" s="2"/>
      <c r="HZI22" s="2"/>
      <c r="HZJ22" s="2"/>
      <c r="HZK22" s="2"/>
      <c r="HZL22" s="2"/>
      <c r="HZM22" s="2"/>
      <c r="HZN22" s="2"/>
      <c r="HZO22" s="2"/>
      <c r="HZP22" s="2"/>
      <c r="HZQ22" s="2"/>
      <c r="HZR22" s="2"/>
      <c r="HZS22" s="2"/>
      <c r="HZT22" s="2"/>
      <c r="HZU22" s="2"/>
      <c r="HZV22" s="2"/>
      <c r="HZW22" s="2"/>
      <c r="HZX22" s="2"/>
      <c r="HZY22" s="2"/>
      <c r="HZZ22" s="2"/>
      <c r="IAA22" s="2"/>
      <c r="IAB22" s="2"/>
      <c r="IAC22" s="2"/>
      <c r="IAD22" s="2"/>
      <c r="IAE22" s="2"/>
      <c r="IAF22" s="2"/>
      <c r="IAG22" s="2"/>
      <c r="IAH22" s="2"/>
      <c r="IAI22" s="2"/>
      <c r="IAJ22" s="2"/>
      <c r="IAK22" s="2"/>
      <c r="IAL22" s="2"/>
      <c r="IAM22" s="2"/>
      <c r="IAN22" s="2"/>
      <c r="IAO22" s="2"/>
      <c r="IAP22" s="2"/>
      <c r="IAQ22" s="2"/>
      <c r="IAR22" s="2"/>
      <c r="IAS22" s="2"/>
      <c r="IAT22" s="2"/>
      <c r="IAU22" s="2"/>
      <c r="IAV22" s="2"/>
      <c r="IAW22" s="2"/>
      <c r="IAX22" s="2"/>
      <c r="IAY22" s="2"/>
      <c r="IAZ22" s="2"/>
      <c r="IBA22" s="2"/>
      <c r="IBB22" s="2"/>
      <c r="IBC22" s="2"/>
      <c r="IBD22" s="2"/>
      <c r="IBE22" s="2"/>
      <c r="IBF22" s="2"/>
      <c r="IBG22" s="2"/>
      <c r="IBH22" s="2"/>
      <c r="IBI22" s="2"/>
      <c r="IBJ22" s="2"/>
      <c r="IBK22" s="2"/>
      <c r="IBL22" s="2"/>
      <c r="IBM22" s="2"/>
      <c r="IBN22" s="2"/>
      <c r="IBO22" s="2"/>
      <c r="IBP22" s="2"/>
      <c r="IBQ22" s="2"/>
      <c r="IBR22" s="2"/>
      <c r="IBS22" s="2"/>
      <c r="IBT22" s="2"/>
      <c r="IBU22" s="2"/>
      <c r="IBV22" s="2"/>
      <c r="IBW22" s="2"/>
      <c r="IBX22" s="2"/>
      <c r="IBY22" s="2"/>
      <c r="IBZ22" s="2"/>
      <c r="ICA22" s="2"/>
      <c r="ICB22" s="2"/>
      <c r="ICC22" s="2"/>
      <c r="ICD22" s="2"/>
      <c r="ICE22" s="2"/>
      <c r="ICF22" s="2"/>
      <c r="ICG22" s="2"/>
      <c r="ICH22" s="2"/>
      <c r="ICI22" s="2"/>
      <c r="ICJ22" s="2"/>
      <c r="ICK22" s="2"/>
      <c r="ICL22" s="2"/>
      <c r="ICM22" s="2"/>
      <c r="ICN22" s="2"/>
      <c r="ICO22" s="2"/>
      <c r="ICP22" s="2"/>
      <c r="ICQ22" s="2"/>
      <c r="ICR22" s="2"/>
      <c r="ICS22" s="2"/>
      <c r="ICT22" s="2"/>
      <c r="ICU22" s="2"/>
      <c r="ICV22" s="2"/>
      <c r="ICW22" s="2"/>
      <c r="ICX22" s="2"/>
      <c r="ICY22" s="2"/>
      <c r="ICZ22" s="2"/>
      <c r="IDA22" s="2"/>
      <c r="IDB22" s="2"/>
      <c r="IDC22" s="2"/>
      <c r="IDD22" s="2"/>
      <c r="IDE22" s="2"/>
      <c r="IDF22" s="2"/>
      <c r="IDG22" s="2"/>
      <c r="IDH22" s="2"/>
      <c r="IDI22" s="2"/>
      <c r="IDJ22" s="2"/>
      <c r="IDK22" s="2"/>
      <c r="IDL22" s="2"/>
      <c r="IDM22" s="2"/>
      <c r="IDN22" s="2"/>
      <c r="IDO22" s="2"/>
      <c r="IDP22" s="2"/>
      <c r="IDQ22" s="2"/>
      <c r="IDR22" s="2"/>
      <c r="IDS22" s="2"/>
      <c r="IDT22" s="2"/>
      <c r="IDU22" s="2"/>
      <c r="IDV22" s="2"/>
      <c r="IDW22" s="2"/>
      <c r="IDX22" s="2"/>
      <c r="IDY22" s="2"/>
      <c r="IDZ22" s="2"/>
      <c r="IEA22" s="2"/>
      <c r="IEB22" s="2"/>
      <c r="IEC22" s="2"/>
      <c r="IED22" s="2"/>
      <c r="IEE22" s="2"/>
      <c r="IEF22" s="2"/>
      <c r="IEG22" s="2"/>
      <c r="IEH22" s="2"/>
      <c r="IEI22" s="2"/>
      <c r="IEJ22" s="2"/>
      <c r="IEK22" s="2"/>
      <c r="IEL22" s="2"/>
      <c r="IEM22" s="2"/>
      <c r="IEN22" s="2"/>
      <c r="IEO22" s="2"/>
      <c r="IEP22" s="2"/>
      <c r="IEQ22" s="2"/>
      <c r="IER22" s="2"/>
      <c r="IES22" s="2"/>
      <c r="IET22" s="2"/>
      <c r="IEU22" s="2"/>
      <c r="IEV22" s="2"/>
      <c r="IEW22" s="2"/>
      <c r="IEX22" s="2"/>
      <c r="IEY22" s="2"/>
      <c r="IEZ22" s="2"/>
      <c r="IFA22" s="2"/>
      <c r="IFB22" s="2"/>
      <c r="IFC22" s="2"/>
      <c r="IFD22" s="2"/>
      <c r="IFE22" s="2"/>
      <c r="IFF22" s="2"/>
      <c r="IFG22" s="2"/>
      <c r="IFH22" s="2"/>
      <c r="IFI22" s="2"/>
      <c r="IFJ22" s="2"/>
      <c r="IFK22" s="2"/>
      <c r="IFL22" s="2"/>
      <c r="IFM22" s="2"/>
      <c r="IFN22" s="2"/>
      <c r="IFO22" s="2"/>
      <c r="IFP22" s="2"/>
      <c r="IFQ22" s="2"/>
      <c r="IFR22" s="2"/>
      <c r="IFS22" s="2"/>
      <c r="IFT22" s="2"/>
      <c r="IFU22" s="2"/>
      <c r="IFV22" s="2"/>
      <c r="IFW22" s="2"/>
      <c r="IFX22" s="2"/>
      <c r="IFY22" s="2"/>
      <c r="IFZ22" s="2"/>
      <c r="IGA22" s="2"/>
      <c r="IGB22" s="2"/>
      <c r="IGC22" s="2"/>
      <c r="IGD22" s="2"/>
      <c r="IGE22" s="2"/>
      <c r="IGF22" s="2"/>
      <c r="IGG22" s="2"/>
      <c r="IGH22" s="2"/>
      <c r="IGI22" s="2"/>
      <c r="IGJ22" s="2"/>
      <c r="IGK22" s="2"/>
      <c r="IGL22" s="2"/>
      <c r="IGM22" s="2"/>
      <c r="IGN22" s="2"/>
      <c r="IGO22" s="2"/>
      <c r="IGP22" s="2"/>
      <c r="IGQ22" s="2"/>
      <c r="IGR22" s="2"/>
      <c r="IGS22" s="2"/>
      <c r="IGT22" s="2"/>
      <c r="IGU22" s="2"/>
      <c r="IGV22" s="2"/>
      <c r="IGW22" s="2"/>
      <c r="IGX22" s="2"/>
      <c r="IGY22" s="2"/>
      <c r="IGZ22" s="2"/>
      <c r="IHA22" s="2"/>
      <c r="IHB22" s="2"/>
      <c r="IHC22" s="2"/>
      <c r="IHD22" s="2"/>
      <c r="IHE22" s="2"/>
      <c r="IHF22" s="2"/>
      <c r="IHG22" s="2"/>
      <c r="IHH22" s="2"/>
      <c r="IHI22" s="2"/>
      <c r="IHJ22" s="2"/>
      <c r="IHK22" s="2"/>
      <c r="IHL22" s="2"/>
      <c r="IHM22" s="2"/>
      <c r="IHN22" s="2"/>
      <c r="IHO22" s="2"/>
      <c r="IHP22" s="2"/>
      <c r="IHQ22" s="2"/>
      <c r="IHR22" s="2"/>
      <c r="IHS22" s="2"/>
      <c r="IHT22" s="2"/>
      <c r="IHU22" s="2"/>
      <c r="IHV22" s="2"/>
      <c r="IHW22" s="2"/>
      <c r="IHX22" s="2"/>
      <c r="IHY22" s="2"/>
      <c r="IHZ22" s="2"/>
      <c r="IIA22" s="2"/>
      <c r="IIB22" s="2"/>
      <c r="IIC22" s="2"/>
      <c r="IID22" s="2"/>
      <c r="IIE22" s="2"/>
      <c r="IIF22" s="2"/>
      <c r="IIG22" s="2"/>
      <c r="IIH22" s="2"/>
      <c r="III22" s="2"/>
      <c r="IIJ22" s="2"/>
      <c r="IIK22" s="2"/>
      <c r="IIL22" s="2"/>
      <c r="IIM22" s="2"/>
      <c r="IIN22" s="2"/>
      <c r="IIO22" s="2"/>
      <c r="IIP22" s="2"/>
      <c r="IIQ22" s="2"/>
      <c r="IIR22" s="2"/>
      <c r="IIS22" s="2"/>
      <c r="IIT22" s="2"/>
      <c r="IIU22" s="2"/>
      <c r="IIV22" s="2"/>
      <c r="IIW22" s="2"/>
      <c r="IIX22" s="2"/>
      <c r="IIY22" s="2"/>
      <c r="IIZ22" s="2"/>
      <c r="IJA22" s="2"/>
      <c r="IJB22" s="2"/>
      <c r="IJC22" s="2"/>
      <c r="IJD22" s="2"/>
      <c r="IJE22" s="2"/>
      <c r="IJF22" s="2"/>
      <c r="IJG22" s="2"/>
      <c r="IJH22" s="2"/>
      <c r="IJI22" s="2"/>
      <c r="IJJ22" s="2"/>
      <c r="IJK22" s="2"/>
      <c r="IJL22" s="2"/>
      <c r="IJM22" s="2"/>
      <c r="IJN22" s="2"/>
      <c r="IJO22" s="2"/>
      <c r="IJP22" s="2"/>
      <c r="IJQ22" s="2"/>
      <c r="IJR22" s="2"/>
      <c r="IJS22" s="2"/>
      <c r="IJT22" s="2"/>
      <c r="IJU22" s="2"/>
      <c r="IJV22" s="2"/>
      <c r="IJW22" s="2"/>
      <c r="IJX22" s="2"/>
      <c r="IJY22" s="2"/>
      <c r="IJZ22" s="2"/>
      <c r="IKA22" s="2"/>
      <c r="IKB22" s="2"/>
      <c r="IKC22" s="2"/>
      <c r="IKD22" s="2"/>
      <c r="IKE22" s="2"/>
      <c r="IKF22" s="2"/>
      <c r="IKG22" s="2"/>
      <c r="IKH22" s="2"/>
      <c r="IKI22" s="2"/>
      <c r="IKJ22" s="2"/>
      <c r="IKK22" s="2"/>
      <c r="IKL22" s="2"/>
      <c r="IKM22" s="2"/>
      <c r="IKN22" s="2"/>
      <c r="IKO22" s="2"/>
      <c r="IKP22" s="2"/>
      <c r="IKQ22" s="2"/>
      <c r="IKR22" s="2"/>
      <c r="IKS22" s="2"/>
      <c r="IKT22" s="2"/>
      <c r="IKU22" s="2"/>
      <c r="IKV22" s="2"/>
      <c r="IKW22" s="2"/>
      <c r="IKX22" s="2"/>
      <c r="IKY22" s="2"/>
      <c r="IKZ22" s="2"/>
      <c r="ILA22" s="2"/>
      <c r="ILB22" s="2"/>
      <c r="ILC22" s="2"/>
      <c r="ILD22" s="2"/>
      <c r="ILE22" s="2"/>
      <c r="ILF22" s="2"/>
      <c r="ILG22" s="2"/>
      <c r="ILH22" s="2"/>
      <c r="ILI22" s="2"/>
      <c r="ILJ22" s="2"/>
      <c r="ILK22" s="2"/>
      <c r="ILL22" s="2"/>
      <c r="ILM22" s="2"/>
      <c r="ILN22" s="2"/>
      <c r="ILO22" s="2"/>
      <c r="ILP22" s="2"/>
      <c r="ILQ22" s="2"/>
      <c r="ILR22" s="2"/>
      <c r="ILS22" s="2"/>
      <c r="ILT22" s="2"/>
      <c r="ILU22" s="2"/>
      <c r="ILV22" s="2"/>
      <c r="ILW22" s="2"/>
      <c r="ILX22" s="2"/>
      <c r="ILY22" s="2"/>
      <c r="ILZ22" s="2"/>
      <c r="IMA22" s="2"/>
      <c r="IMB22" s="2"/>
      <c r="IMC22" s="2"/>
      <c r="IMD22" s="2"/>
      <c r="IME22" s="2"/>
      <c r="IMF22" s="2"/>
      <c r="IMG22" s="2"/>
      <c r="IMH22" s="2"/>
      <c r="IMI22" s="2"/>
      <c r="IMJ22" s="2"/>
      <c r="IMK22" s="2"/>
      <c r="IML22" s="2"/>
      <c r="IMM22" s="2"/>
      <c r="IMN22" s="2"/>
      <c r="IMO22" s="2"/>
      <c r="IMP22" s="2"/>
      <c r="IMQ22" s="2"/>
      <c r="IMR22" s="2"/>
      <c r="IMS22" s="2"/>
      <c r="IMT22" s="2"/>
      <c r="IMU22" s="2"/>
      <c r="IMV22" s="2"/>
      <c r="IMW22" s="2"/>
      <c r="IMX22" s="2"/>
      <c r="IMY22" s="2"/>
      <c r="IMZ22" s="2"/>
      <c r="INA22" s="2"/>
      <c r="INB22" s="2"/>
      <c r="INC22" s="2"/>
      <c r="IND22" s="2"/>
      <c r="INE22" s="2"/>
      <c r="INF22" s="2"/>
      <c r="ING22" s="2"/>
      <c r="INH22" s="2"/>
      <c r="INI22" s="2"/>
      <c r="INJ22" s="2"/>
      <c r="INK22" s="2"/>
      <c r="INL22" s="2"/>
      <c r="INM22" s="2"/>
      <c r="INN22" s="2"/>
      <c r="INO22" s="2"/>
      <c r="INP22" s="2"/>
      <c r="INQ22" s="2"/>
      <c r="INR22" s="2"/>
      <c r="INS22" s="2"/>
      <c r="INT22" s="2"/>
      <c r="INU22" s="2"/>
      <c r="INV22" s="2"/>
      <c r="INW22" s="2"/>
      <c r="INX22" s="2"/>
      <c r="INY22" s="2"/>
      <c r="INZ22" s="2"/>
      <c r="IOA22" s="2"/>
      <c r="IOB22" s="2"/>
      <c r="IOC22" s="2"/>
      <c r="IOD22" s="2"/>
      <c r="IOE22" s="2"/>
      <c r="IOF22" s="2"/>
      <c r="IOG22" s="2"/>
      <c r="IOH22" s="2"/>
      <c r="IOI22" s="2"/>
      <c r="IOJ22" s="2"/>
      <c r="IOK22" s="2"/>
      <c r="IOL22" s="2"/>
      <c r="IOM22" s="2"/>
      <c r="ION22" s="2"/>
      <c r="IOO22" s="2"/>
      <c r="IOP22" s="2"/>
      <c r="IOQ22" s="2"/>
      <c r="IOR22" s="2"/>
      <c r="IOS22" s="2"/>
      <c r="IOT22" s="2"/>
      <c r="IOU22" s="2"/>
      <c r="IOV22" s="2"/>
      <c r="IOW22" s="2"/>
      <c r="IOX22" s="2"/>
      <c r="IOY22" s="2"/>
      <c r="IOZ22" s="2"/>
      <c r="IPA22" s="2"/>
      <c r="IPB22" s="2"/>
      <c r="IPC22" s="2"/>
      <c r="IPD22" s="2"/>
      <c r="IPE22" s="2"/>
      <c r="IPF22" s="2"/>
      <c r="IPG22" s="2"/>
      <c r="IPH22" s="2"/>
      <c r="IPI22" s="2"/>
      <c r="IPJ22" s="2"/>
      <c r="IPK22" s="2"/>
      <c r="IPL22" s="2"/>
      <c r="IPM22" s="2"/>
      <c r="IPN22" s="2"/>
      <c r="IPO22" s="2"/>
      <c r="IPP22" s="2"/>
      <c r="IPQ22" s="2"/>
      <c r="IPR22" s="2"/>
      <c r="IPS22" s="2"/>
      <c r="IPT22" s="2"/>
      <c r="IPU22" s="2"/>
      <c r="IPV22" s="2"/>
      <c r="IPW22" s="2"/>
      <c r="IPX22" s="2"/>
      <c r="IPY22" s="2"/>
      <c r="IPZ22" s="2"/>
      <c r="IQA22" s="2"/>
      <c r="IQB22" s="2"/>
      <c r="IQC22" s="2"/>
      <c r="IQD22" s="2"/>
      <c r="IQE22" s="2"/>
      <c r="IQF22" s="2"/>
      <c r="IQG22" s="2"/>
      <c r="IQH22" s="2"/>
      <c r="IQI22" s="2"/>
      <c r="IQJ22" s="2"/>
      <c r="IQK22" s="2"/>
      <c r="IQL22" s="2"/>
      <c r="IQM22" s="2"/>
      <c r="IQN22" s="2"/>
      <c r="IQO22" s="2"/>
      <c r="IQP22" s="2"/>
      <c r="IQQ22" s="2"/>
      <c r="IQR22" s="2"/>
      <c r="IQS22" s="2"/>
      <c r="IQT22" s="2"/>
      <c r="IQU22" s="2"/>
      <c r="IQV22" s="2"/>
      <c r="IQW22" s="2"/>
      <c r="IQX22" s="2"/>
      <c r="IQY22" s="2"/>
      <c r="IQZ22" s="2"/>
      <c r="IRA22" s="2"/>
      <c r="IRB22" s="2"/>
      <c r="IRC22" s="2"/>
      <c r="IRD22" s="2"/>
      <c r="IRE22" s="2"/>
      <c r="IRF22" s="2"/>
      <c r="IRG22" s="2"/>
      <c r="IRH22" s="2"/>
      <c r="IRI22" s="2"/>
      <c r="IRJ22" s="2"/>
      <c r="IRK22" s="2"/>
      <c r="IRL22" s="2"/>
      <c r="IRM22" s="2"/>
      <c r="IRN22" s="2"/>
      <c r="IRO22" s="2"/>
      <c r="IRP22" s="2"/>
      <c r="IRQ22" s="2"/>
      <c r="IRR22" s="2"/>
      <c r="IRS22" s="2"/>
      <c r="IRT22" s="2"/>
      <c r="IRU22" s="2"/>
      <c r="IRV22" s="2"/>
      <c r="IRW22" s="2"/>
      <c r="IRX22" s="2"/>
      <c r="IRY22" s="2"/>
      <c r="IRZ22" s="2"/>
      <c r="ISA22" s="2"/>
      <c r="ISB22" s="2"/>
      <c r="ISC22" s="2"/>
      <c r="ISD22" s="2"/>
      <c r="ISE22" s="2"/>
      <c r="ISF22" s="2"/>
      <c r="ISG22" s="2"/>
      <c r="ISH22" s="2"/>
      <c r="ISI22" s="2"/>
      <c r="ISJ22" s="2"/>
      <c r="ISK22" s="2"/>
      <c r="ISL22" s="2"/>
      <c r="ISM22" s="2"/>
      <c r="ISN22" s="2"/>
      <c r="ISO22" s="2"/>
      <c r="ISP22" s="2"/>
      <c r="ISQ22" s="2"/>
      <c r="ISR22" s="2"/>
      <c r="ISS22" s="2"/>
      <c r="IST22" s="2"/>
      <c r="ISU22" s="2"/>
      <c r="ISV22" s="2"/>
      <c r="ISW22" s="2"/>
      <c r="ISX22" s="2"/>
      <c r="ISY22" s="2"/>
      <c r="ISZ22" s="2"/>
      <c r="ITA22" s="2"/>
      <c r="ITB22" s="2"/>
      <c r="ITC22" s="2"/>
      <c r="ITD22" s="2"/>
      <c r="ITE22" s="2"/>
      <c r="ITF22" s="2"/>
      <c r="ITG22" s="2"/>
      <c r="ITH22" s="2"/>
      <c r="ITI22" s="2"/>
      <c r="ITJ22" s="2"/>
      <c r="ITK22" s="2"/>
      <c r="ITL22" s="2"/>
      <c r="ITM22" s="2"/>
      <c r="ITN22" s="2"/>
      <c r="ITO22" s="2"/>
      <c r="ITP22" s="2"/>
      <c r="ITQ22" s="2"/>
      <c r="ITR22" s="2"/>
      <c r="ITS22" s="2"/>
      <c r="ITT22" s="2"/>
      <c r="ITU22" s="2"/>
      <c r="ITV22" s="2"/>
      <c r="ITW22" s="2"/>
      <c r="ITX22" s="2"/>
      <c r="ITY22" s="2"/>
      <c r="ITZ22" s="2"/>
      <c r="IUA22" s="2"/>
      <c r="IUB22" s="2"/>
      <c r="IUC22" s="2"/>
      <c r="IUD22" s="2"/>
      <c r="IUE22" s="2"/>
      <c r="IUF22" s="2"/>
      <c r="IUG22" s="2"/>
      <c r="IUH22" s="2"/>
      <c r="IUI22" s="2"/>
      <c r="IUJ22" s="2"/>
      <c r="IUK22" s="2"/>
      <c r="IUL22" s="2"/>
      <c r="IUM22" s="2"/>
      <c r="IUN22" s="2"/>
      <c r="IUO22" s="2"/>
      <c r="IUP22" s="2"/>
      <c r="IUQ22" s="2"/>
      <c r="IUR22" s="2"/>
      <c r="IUS22" s="2"/>
      <c r="IUT22" s="2"/>
      <c r="IUU22" s="2"/>
      <c r="IUV22" s="2"/>
      <c r="IUW22" s="2"/>
      <c r="IUX22" s="2"/>
      <c r="IUY22" s="2"/>
      <c r="IUZ22" s="2"/>
      <c r="IVA22" s="2"/>
      <c r="IVB22" s="2"/>
      <c r="IVC22" s="2"/>
      <c r="IVD22" s="2"/>
      <c r="IVE22" s="2"/>
      <c r="IVF22" s="2"/>
      <c r="IVG22" s="2"/>
      <c r="IVH22" s="2"/>
      <c r="IVI22" s="2"/>
      <c r="IVJ22" s="2"/>
      <c r="IVK22" s="2"/>
      <c r="IVL22" s="2"/>
      <c r="IVM22" s="2"/>
      <c r="IVN22" s="2"/>
      <c r="IVO22" s="2"/>
      <c r="IVP22" s="2"/>
      <c r="IVQ22" s="2"/>
      <c r="IVR22" s="2"/>
      <c r="IVS22" s="2"/>
      <c r="IVT22" s="2"/>
      <c r="IVU22" s="2"/>
      <c r="IVV22" s="2"/>
      <c r="IVW22" s="2"/>
      <c r="IVX22" s="2"/>
      <c r="IVY22" s="2"/>
      <c r="IVZ22" s="2"/>
      <c r="IWA22" s="2"/>
      <c r="IWB22" s="2"/>
      <c r="IWC22" s="2"/>
      <c r="IWD22" s="2"/>
      <c r="IWE22" s="2"/>
      <c r="IWF22" s="2"/>
      <c r="IWG22" s="2"/>
      <c r="IWH22" s="2"/>
      <c r="IWI22" s="2"/>
      <c r="IWJ22" s="2"/>
      <c r="IWK22" s="2"/>
      <c r="IWL22" s="2"/>
      <c r="IWM22" s="2"/>
      <c r="IWN22" s="2"/>
      <c r="IWO22" s="2"/>
      <c r="IWP22" s="2"/>
      <c r="IWQ22" s="2"/>
      <c r="IWR22" s="2"/>
      <c r="IWS22" s="2"/>
      <c r="IWT22" s="2"/>
      <c r="IWU22" s="2"/>
      <c r="IWV22" s="2"/>
      <c r="IWW22" s="2"/>
      <c r="IWX22" s="2"/>
      <c r="IWY22" s="2"/>
      <c r="IWZ22" s="2"/>
      <c r="IXA22" s="2"/>
      <c r="IXB22" s="2"/>
      <c r="IXC22" s="2"/>
      <c r="IXD22" s="2"/>
      <c r="IXE22" s="2"/>
      <c r="IXF22" s="2"/>
      <c r="IXG22" s="2"/>
      <c r="IXH22" s="2"/>
      <c r="IXI22" s="2"/>
      <c r="IXJ22" s="2"/>
      <c r="IXK22" s="2"/>
      <c r="IXL22" s="2"/>
      <c r="IXM22" s="2"/>
      <c r="IXN22" s="2"/>
      <c r="IXO22" s="2"/>
      <c r="IXP22" s="2"/>
      <c r="IXQ22" s="2"/>
      <c r="IXR22" s="2"/>
      <c r="IXS22" s="2"/>
      <c r="IXT22" s="2"/>
      <c r="IXU22" s="2"/>
      <c r="IXV22" s="2"/>
      <c r="IXW22" s="2"/>
      <c r="IXX22" s="2"/>
      <c r="IXY22" s="2"/>
      <c r="IXZ22" s="2"/>
      <c r="IYA22" s="2"/>
      <c r="IYB22" s="2"/>
      <c r="IYC22" s="2"/>
      <c r="IYD22" s="2"/>
      <c r="IYE22" s="2"/>
      <c r="IYF22" s="2"/>
      <c r="IYG22" s="2"/>
      <c r="IYH22" s="2"/>
      <c r="IYI22" s="2"/>
      <c r="IYJ22" s="2"/>
      <c r="IYK22" s="2"/>
      <c r="IYL22" s="2"/>
      <c r="IYM22" s="2"/>
      <c r="IYN22" s="2"/>
      <c r="IYO22" s="2"/>
      <c r="IYP22" s="2"/>
      <c r="IYQ22" s="2"/>
      <c r="IYR22" s="2"/>
      <c r="IYS22" s="2"/>
      <c r="IYT22" s="2"/>
      <c r="IYU22" s="2"/>
      <c r="IYV22" s="2"/>
      <c r="IYW22" s="2"/>
      <c r="IYX22" s="2"/>
      <c r="IYY22" s="2"/>
      <c r="IYZ22" s="2"/>
      <c r="IZA22" s="2"/>
      <c r="IZB22" s="2"/>
      <c r="IZC22" s="2"/>
      <c r="IZD22" s="2"/>
      <c r="IZE22" s="2"/>
      <c r="IZF22" s="2"/>
      <c r="IZG22" s="2"/>
      <c r="IZH22" s="2"/>
      <c r="IZI22" s="2"/>
      <c r="IZJ22" s="2"/>
      <c r="IZK22" s="2"/>
      <c r="IZL22" s="2"/>
      <c r="IZM22" s="2"/>
      <c r="IZN22" s="2"/>
      <c r="IZO22" s="2"/>
      <c r="IZP22" s="2"/>
      <c r="IZQ22" s="2"/>
      <c r="IZR22" s="2"/>
      <c r="IZS22" s="2"/>
      <c r="IZT22" s="2"/>
      <c r="IZU22" s="2"/>
      <c r="IZV22" s="2"/>
      <c r="IZW22" s="2"/>
      <c r="IZX22" s="2"/>
      <c r="IZY22" s="2"/>
      <c r="IZZ22" s="2"/>
      <c r="JAA22" s="2"/>
      <c r="JAB22" s="2"/>
      <c r="JAC22" s="2"/>
      <c r="JAD22" s="2"/>
      <c r="JAE22" s="2"/>
      <c r="JAF22" s="2"/>
      <c r="JAG22" s="2"/>
      <c r="JAH22" s="2"/>
      <c r="JAI22" s="2"/>
      <c r="JAJ22" s="2"/>
      <c r="JAK22" s="2"/>
      <c r="JAL22" s="2"/>
      <c r="JAM22" s="2"/>
      <c r="JAN22" s="2"/>
      <c r="JAO22" s="2"/>
      <c r="JAP22" s="2"/>
      <c r="JAQ22" s="2"/>
      <c r="JAR22" s="2"/>
      <c r="JAS22" s="2"/>
      <c r="JAT22" s="2"/>
      <c r="JAU22" s="2"/>
      <c r="JAV22" s="2"/>
      <c r="JAW22" s="2"/>
      <c r="JAX22" s="2"/>
      <c r="JAY22" s="2"/>
      <c r="JAZ22" s="2"/>
      <c r="JBA22" s="2"/>
      <c r="JBB22" s="2"/>
      <c r="JBC22" s="2"/>
      <c r="JBD22" s="2"/>
      <c r="JBE22" s="2"/>
      <c r="JBF22" s="2"/>
      <c r="JBG22" s="2"/>
      <c r="JBH22" s="2"/>
      <c r="JBI22" s="2"/>
      <c r="JBJ22" s="2"/>
      <c r="JBK22" s="2"/>
      <c r="JBL22" s="2"/>
      <c r="JBM22" s="2"/>
      <c r="JBN22" s="2"/>
      <c r="JBO22" s="2"/>
      <c r="JBP22" s="2"/>
      <c r="JBQ22" s="2"/>
      <c r="JBR22" s="2"/>
      <c r="JBS22" s="2"/>
      <c r="JBT22" s="2"/>
      <c r="JBU22" s="2"/>
      <c r="JBV22" s="2"/>
      <c r="JBW22" s="2"/>
      <c r="JBX22" s="2"/>
      <c r="JBY22" s="2"/>
      <c r="JBZ22" s="2"/>
      <c r="JCA22" s="2"/>
      <c r="JCB22" s="2"/>
      <c r="JCC22" s="2"/>
      <c r="JCD22" s="2"/>
      <c r="JCE22" s="2"/>
      <c r="JCF22" s="2"/>
      <c r="JCG22" s="2"/>
      <c r="JCH22" s="2"/>
      <c r="JCI22" s="2"/>
      <c r="JCJ22" s="2"/>
      <c r="JCK22" s="2"/>
      <c r="JCL22" s="2"/>
      <c r="JCM22" s="2"/>
      <c r="JCN22" s="2"/>
      <c r="JCO22" s="2"/>
      <c r="JCP22" s="2"/>
      <c r="JCQ22" s="2"/>
      <c r="JCR22" s="2"/>
      <c r="JCS22" s="2"/>
      <c r="JCT22" s="2"/>
      <c r="JCU22" s="2"/>
      <c r="JCV22" s="2"/>
      <c r="JCW22" s="2"/>
      <c r="JCX22" s="2"/>
      <c r="JCY22" s="2"/>
      <c r="JCZ22" s="2"/>
      <c r="JDA22" s="2"/>
      <c r="JDB22" s="2"/>
      <c r="JDC22" s="2"/>
      <c r="JDD22" s="2"/>
      <c r="JDE22" s="2"/>
      <c r="JDF22" s="2"/>
      <c r="JDG22" s="2"/>
      <c r="JDH22" s="2"/>
      <c r="JDI22" s="2"/>
      <c r="JDJ22" s="2"/>
      <c r="JDK22" s="2"/>
      <c r="JDL22" s="2"/>
      <c r="JDM22" s="2"/>
      <c r="JDN22" s="2"/>
      <c r="JDO22" s="2"/>
      <c r="JDP22" s="2"/>
      <c r="JDQ22" s="2"/>
      <c r="JDR22" s="2"/>
      <c r="JDS22" s="2"/>
      <c r="JDT22" s="2"/>
      <c r="JDU22" s="2"/>
      <c r="JDV22" s="2"/>
      <c r="JDW22" s="2"/>
      <c r="JDX22" s="2"/>
      <c r="JDY22" s="2"/>
      <c r="JDZ22" s="2"/>
      <c r="JEA22" s="2"/>
      <c r="JEB22" s="2"/>
      <c r="JEC22" s="2"/>
      <c r="JED22" s="2"/>
      <c r="JEE22" s="2"/>
      <c r="JEF22" s="2"/>
      <c r="JEG22" s="2"/>
      <c r="JEH22" s="2"/>
      <c r="JEI22" s="2"/>
      <c r="JEJ22" s="2"/>
      <c r="JEK22" s="2"/>
      <c r="JEL22" s="2"/>
      <c r="JEM22" s="2"/>
      <c r="JEN22" s="2"/>
      <c r="JEO22" s="2"/>
      <c r="JEP22" s="2"/>
      <c r="JEQ22" s="2"/>
      <c r="JER22" s="2"/>
      <c r="JES22" s="2"/>
      <c r="JET22" s="2"/>
      <c r="JEU22" s="2"/>
      <c r="JEV22" s="2"/>
      <c r="JEW22" s="2"/>
      <c r="JEX22" s="2"/>
      <c r="JEY22" s="2"/>
      <c r="JEZ22" s="2"/>
      <c r="JFA22" s="2"/>
      <c r="JFB22" s="2"/>
      <c r="JFC22" s="2"/>
      <c r="JFD22" s="2"/>
      <c r="JFE22" s="2"/>
      <c r="JFF22" s="2"/>
      <c r="JFG22" s="2"/>
      <c r="JFH22" s="2"/>
      <c r="JFI22" s="2"/>
      <c r="JFJ22" s="2"/>
      <c r="JFK22" s="2"/>
      <c r="JFL22" s="2"/>
      <c r="JFM22" s="2"/>
      <c r="JFN22" s="2"/>
      <c r="JFO22" s="2"/>
      <c r="JFP22" s="2"/>
      <c r="JFQ22" s="2"/>
      <c r="JFR22" s="2"/>
      <c r="JFS22" s="2"/>
      <c r="JFT22" s="2"/>
      <c r="JFU22" s="2"/>
      <c r="JFV22" s="2"/>
      <c r="JFW22" s="2"/>
      <c r="JFX22" s="2"/>
      <c r="JFY22" s="2"/>
      <c r="JFZ22" s="2"/>
      <c r="JGA22" s="2"/>
      <c r="JGB22" s="2"/>
      <c r="JGC22" s="2"/>
      <c r="JGD22" s="2"/>
      <c r="JGE22" s="2"/>
      <c r="JGF22" s="2"/>
      <c r="JGG22" s="2"/>
      <c r="JGH22" s="2"/>
      <c r="JGI22" s="2"/>
      <c r="JGJ22" s="2"/>
      <c r="JGK22" s="2"/>
      <c r="JGL22" s="2"/>
      <c r="JGM22" s="2"/>
      <c r="JGN22" s="2"/>
      <c r="JGO22" s="2"/>
      <c r="JGP22" s="2"/>
      <c r="JGQ22" s="2"/>
      <c r="JGR22" s="2"/>
      <c r="JGS22" s="2"/>
      <c r="JGT22" s="2"/>
      <c r="JGU22" s="2"/>
      <c r="JGV22" s="2"/>
      <c r="JGW22" s="2"/>
      <c r="JGX22" s="2"/>
      <c r="JGY22" s="2"/>
      <c r="JGZ22" s="2"/>
      <c r="JHA22" s="2"/>
      <c r="JHB22" s="2"/>
      <c r="JHC22" s="2"/>
      <c r="JHD22" s="2"/>
      <c r="JHE22" s="2"/>
      <c r="JHF22" s="2"/>
      <c r="JHG22" s="2"/>
      <c r="JHH22" s="2"/>
      <c r="JHI22" s="2"/>
      <c r="JHJ22" s="2"/>
      <c r="JHK22" s="2"/>
      <c r="JHL22" s="2"/>
      <c r="JHM22" s="2"/>
      <c r="JHN22" s="2"/>
      <c r="JHO22" s="2"/>
      <c r="JHP22" s="2"/>
      <c r="JHQ22" s="2"/>
      <c r="JHR22" s="2"/>
      <c r="JHS22" s="2"/>
      <c r="JHT22" s="2"/>
      <c r="JHU22" s="2"/>
      <c r="JHV22" s="2"/>
      <c r="JHW22" s="2"/>
      <c r="JHX22" s="2"/>
      <c r="JHY22" s="2"/>
      <c r="JHZ22" s="2"/>
      <c r="JIA22" s="2"/>
      <c r="JIB22" s="2"/>
      <c r="JIC22" s="2"/>
      <c r="JID22" s="2"/>
      <c r="JIE22" s="2"/>
      <c r="JIF22" s="2"/>
      <c r="JIG22" s="2"/>
      <c r="JIH22" s="2"/>
      <c r="JII22" s="2"/>
      <c r="JIJ22" s="2"/>
      <c r="JIK22" s="2"/>
      <c r="JIL22" s="2"/>
      <c r="JIM22" s="2"/>
      <c r="JIN22" s="2"/>
      <c r="JIO22" s="2"/>
      <c r="JIP22" s="2"/>
      <c r="JIQ22" s="2"/>
      <c r="JIR22" s="2"/>
      <c r="JIS22" s="2"/>
      <c r="JIT22" s="2"/>
      <c r="JIU22" s="2"/>
      <c r="JIV22" s="2"/>
      <c r="JIW22" s="2"/>
      <c r="JIX22" s="2"/>
      <c r="JIY22" s="2"/>
      <c r="JIZ22" s="2"/>
      <c r="JJA22" s="2"/>
      <c r="JJB22" s="2"/>
      <c r="JJC22" s="2"/>
      <c r="JJD22" s="2"/>
      <c r="JJE22" s="2"/>
      <c r="JJF22" s="2"/>
      <c r="JJG22" s="2"/>
      <c r="JJH22" s="2"/>
      <c r="JJI22" s="2"/>
      <c r="JJJ22" s="2"/>
      <c r="JJK22" s="2"/>
      <c r="JJL22" s="2"/>
      <c r="JJM22" s="2"/>
      <c r="JJN22" s="2"/>
      <c r="JJO22" s="2"/>
      <c r="JJP22" s="2"/>
      <c r="JJQ22" s="2"/>
      <c r="JJR22" s="2"/>
      <c r="JJS22" s="2"/>
      <c r="JJT22" s="2"/>
      <c r="JJU22" s="2"/>
      <c r="JJV22" s="2"/>
      <c r="JJW22" s="2"/>
      <c r="JJX22" s="2"/>
      <c r="JJY22" s="2"/>
      <c r="JJZ22" s="2"/>
      <c r="JKA22" s="2"/>
      <c r="JKB22" s="2"/>
      <c r="JKC22" s="2"/>
      <c r="JKD22" s="2"/>
      <c r="JKE22" s="2"/>
      <c r="JKF22" s="2"/>
      <c r="JKG22" s="2"/>
      <c r="JKH22" s="2"/>
      <c r="JKI22" s="2"/>
      <c r="JKJ22" s="2"/>
      <c r="JKK22" s="2"/>
      <c r="JKL22" s="2"/>
      <c r="JKM22" s="2"/>
      <c r="JKN22" s="2"/>
      <c r="JKO22" s="2"/>
      <c r="JKP22" s="2"/>
      <c r="JKQ22" s="2"/>
      <c r="JKR22" s="2"/>
      <c r="JKS22" s="2"/>
      <c r="JKT22" s="2"/>
      <c r="JKU22" s="2"/>
      <c r="JKV22" s="2"/>
      <c r="JKW22" s="2"/>
      <c r="JKX22" s="2"/>
      <c r="JKY22" s="2"/>
      <c r="JKZ22" s="2"/>
      <c r="JLA22" s="2"/>
      <c r="JLB22" s="2"/>
      <c r="JLC22" s="2"/>
      <c r="JLD22" s="2"/>
      <c r="JLE22" s="2"/>
      <c r="JLF22" s="2"/>
      <c r="JLG22" s="2"/>
      <c r="JLH22" s="2"/>
      <c r="JLI22" s="2"/>
      <c r="JLJ22" s="2"/>
      <c r="JLK22" s="2"/>
      <c r="JLL22" s="2"/>
      <c r="JLM22" s="2"/>
      <c r="JLN22" s="2"/>
      <c r="JLO22" s="2"/>
      <c r="JLP22" s="2"/>
      <c r="JLQ22" s="2"/>
      <c r="JLR22" s="2"/>
      <c r="JLS22" s="2"/>
      <c r="JLT22" s="2"/>
      <c r="JLU22" s="2"/>
      <c r="JLV22" s="2"/>
      <c r="JLW22" s="2"/>
      <c r="JLX22" s="2"/>
      <c r="JLY22" s="2"/>
      <c r="JLZ22" s="2"/>
      <c r="JMA22" s="2"/>
      <c r="JMB22" s="2"/>
      <c r="JMC22" s="2"/>
      <c r="JMD22" s="2"/>
      <c r="JME22" s="2"/>
      <c r="JMF22" s="2"/>
      <c r="JMG22" s="2"/>
      <c r="JMH22" s="2"/>
      <c r="JMI22" s="2"/>
      <c r="JMJ22" s="2"/>
      <c r="JMK22" s="2"/>
      <c r="JML22" s="2"/>
      <c r="JMM22" s="2"/>
      <c r="JMN22" s="2"/>
      <c r="JMO22" s="2"/>
      <c r="JMP22" s="2"/>
      <c r="JMQ22" s="2"/>
      <c r="JMR22" s="2"/>
      <c r="JMS22" s="2"/>
      <c r="JMT22" s="2"/>
      <c r="JMU22" s="2"/>
      <c r="JMV22" s="2"/>
      <c r="JMW22" s="2"/>
      <c r="JMX22" s="2"/>
      <c r="JMY22" s="2"/>
      <c r="JMZ22" s="2"/>
      <c r="JNA22" s="2"/>
      <c r="JNB22" s="2"/>
      <c r="JNC22" s="2"/>
      <c r="JND22" s="2"/>
      <c r="JNE22" s="2"/>
      <c r="JNF22" s="2"/>
      <c r="JNG22" s="2"/>
      <c r="JNH22" s="2"/>
      <c r="JNI22" s="2"/>
      <c r="JNJ22" s="2"/>
      <c r="JNK22" s="2"/>
      <c r="JNL22" s="2"/>
      <c r="JNM22" s="2"/>
      <c r="JNN22" s="2"/>
      <c r="JNO22" s="2"/>
      <c r="JNP22" s="2"/>
      <c r="JNQ22" s="2"/>
      <c r="JNR22" s="2"/>
      <c r="JNS22" s="2"/>
      <c r="JNT22" s="2"/>
      <c r="JNU22" s="2"/>
      <c r="JNV22" s="2"/>
      <c r="JNW22" s="2"/>
      <c r="JNX22" s="2"/>
      <c r="JNY22" s="2"/>
      <c r="JNZ22" s="2"/>
      <c r="JOA22" s="2"/>
      <c r="JOB22" s="2"/>
      <c r="JOC22" s="2"/>
      <c r="JOD22" s="2"/>
      <c r="JOE22" s="2"/>
      <c r="JOF22" s="2"/>
      <c r="JOG22" s="2"/>
      <c r="JOH22" s="2"/>
      <c r="JOI22" s="2"/>
      <c r="JOJ22" s="2"/>
      <c r="JOK22" s="2"/>
      <c r="JOL22" s="2"/>
      <c r="JOM22" s="2"/>
      <c r="JON22" s="2"/>
      <c r="JOO22" s="2"/>
      <c r="JOP22" s="2"/>
      <c r="JOQ22" s="2"/>
      <c r="JOR22" s="2"/>
      <c r="JOS22" s="2"/>
      <c r="JOT22" s="2"/>
      <c r="JOU22" s="2"/>
      <c r="JOV22" s="2"/>
      <c r="JOW22" s="2"/>
      <c r="JOX22" s="2"/>
      <c r="JOY22" s="2"/>
      <c r="JOZ22" s="2"/>
      <c r="JPA22" s="2"/>
      <c r="JPB22" s="2"/>
      <c r="JPC22" s="2"/>
      <c r="JPD22" s="2"/>
      <c r="JPE22" s="2"/>
      <c r="JPF22" s="2"/>
      <c r="JPG22" s="2"/>
      <c r="JPH22" s="2"/>
      <c r="JPI22" s="2"/>
      <c r="JPJ22" s="2"/>
      <c r="JPK22" s="2"/>
      <c r="JPL22" s="2"/>
      <c r="JPM22" s="2"/>
      <c r="JPN22" s="2"/>
      <c r="JPO22" s="2"/>
      <c r="JPP22" s="2"/>
      <c r="JPQ22" s="2"/>
      <c r="JPR22" s="2"/>
      <c r="JPS22" s="2"/>
      <c r="JPT22" s="2"/>
      <c r="JPU22" s="2"/>
      <c r="JPV22" s="2"/>
      <c r="JPW22" s="2"/>
      <c r="JPX22" s="2"/>
      <c r="JPY22" s="2"/>
      <c r="JPZ22" s="2"/>
      <c r="JQA22" s="2"/>
      <c r="JQB22" s="2"/>
      <c r="JQC22" s="2"/>
      <c r="JQD22" s="2"/>
      <c r="JQE22" s="2"/>
      <c r="JQF22" s="2"/>
      <c r="JQG22" s="2"/>
      <c r="JQH22" s="2"/>
      <c r="JQI22" s="2"/>
      <c r="JQJ22" s="2"/>
      <c r="JQK22" s="2"/>
      <c r="JQL22" s="2"/>
      <c r="JQM22" s="2"/>
      <c r="JQN22" s="2"/>
      <c r="JQO22" s="2"/>
      <c r="JQP22" s="2"/>
      <c r="JQQ22" s="2"/>
      <c r="JQR22" s="2"/>
      <c r="JQS22" s="2"/>
      <c r="JQT22" s="2"/>
      <c r="JQU22" s="2"/>
      <c r="JQV22" s="2"/>
      <c r="JQW22" s="2"/>
      <c r="JQX22" s="2"/>
      <c r="JQY22" s="2"/>
      <c r="JQZ22" s="2"/>
      <c r="JRA22" s="2"/>
      <c r="JRB22" s="2"/>
      <c r="JRC22" s="2"/>
      <c r="JRD22" s="2"/>
      <c r="JRE22" s="2"/>
      <c r="JRF22" s="2"/>
      <c r="JRG22" s="2"/>
      <c r="JRH22" s="2"/>
      <c r="JRI22" s="2"/>
      <c r="JRJ22" s="2"/>
      <c r="JRK22" s="2"/>
      <c r="JRL22" s="2"/>
      <c r="JRM22" s="2"/>
      <c r="JRN22" s="2"/>
      <c r="JRO22" s="2"/>
      <c r="JRP22" s="2"/>
      <c r="JRQ22" s="2"/>
      <c r="JRR22" s="2"/>
      <c r="JRS22" s="2"/>
      <c r="JRT22" s="2"/>
      <c r="JRU22" s="2"/>
      <c r="JRV22" s="2"/>
      <c r="JRW22" s="2"/>
      <c r="JRX22" s="2"/>
      <c r="JRY22" s="2"/>
      <c r="JRZ22" s="2"/>
      <c r="JSA22" s="2"/>
      <c r="JSB22" s="2"/>
      <c r="JSC22" s="2"/>
      <c r="JSD22" s="2"/>
      <c r="JSE22" s="2"/>
      <c r="JSF22" s="2"/>
      <c r="JSG22" s="2"/>
      <c r="JSH22" s="2"/>
      <c r="JSI22" s="2"/>
      <c r="JSJ22" s="2"/>
      <c r="JSK22" s="2"/>
      <c r="JSL22" s="2"/>
      <c r="JSM22" s="2"/>
      <c r="JSN22" s="2"/>
      <c r="JSO22" s="2"/>
      <c r="JSP22" s="2"/>
      <c r="JSQ22" s="2"/>
      <c r="JSR22" s="2"/>
      <c r="JSS22" s="2"/>
      <c r="JST22" s="2"/>
      <c r="JSU22" s="2"/>
      <c r="JSV22" s="2"/>
      <c r="JSW22" s="2"/>
      <c r="JSX22" s="2"/>
      <c r="JSY22" s="2"/>
      <c r="JSZ22" s="2"/>
      <c r="JTA22" s="2"/>
      <c r="JTB22" s="2"/>
      <c r="JTC22" s="2"/>
      <c r="JTD22" s="2"/>
      <c r="JTE22" s="2"/>
      <c r="JTF22" s="2"/>
      <c r="JTG22" s="2"/>
      <c r="JTH22" s="2"/>
      <c r="JTI22" s="2"/>
      <c r="JTJ22" s="2"/>
      <c r="JTK22" s="2"/>
      <c r="JTL22" s="2"/>
      <c r="JTM22" s="2"/>
      <c r="JTN22" s="2"/>
      <c r="JTO22" s="2"/>
      <c r="JTP22" s="2"/>
      <c r="JTQ22" s="2"/>
      <c r="JTR22" s="2"/>
      <c r="JTS22" s="2"/>
      <c r="JTT22" s="2"/>
      <c r="JTU22" s="2"/>
      <c r="JTV22" s="2"/>
      <c r="JTW22" s="2"/>
      <c r="JTX22" s="2"/>
      <c r="JTY22" s="2"/>
      <c r="JTZ22" s="2"/>
      <c r="JUA22" s="2"/>
      <c r="JUB22" s="2"/>
      <c r="JUC22" s="2"/>
      <c r="JUD22" s="2"/>
      <c r="JUE22" s="2"/>
      <c r="JUF22" s="2"/>
      <c r="JUG22" s="2"/>
      <c r="JUH22" s="2"/>
      <c r="JUI22" s="2"/>
      <c r="JUJ22" s="2"/>
      <c r="JUK22" s="2"/>
      <c r="JUL22" s="2"/>
      <c r="JUM22" s="2"/>
      <c r="JUN22" s="2"/>
      <c r="JUO22" s="2"/>
      <c r="JUP22" s="2"/>
      <c r="JUQ22" s="2"/>
      <c r="JUR22" s="2"/>
      <c r="JUS22" s="2"/>
      <c r="JUT22" s="2"/>
      <c r="JUU22" s="2"/>
      <c r="JUV22" s="2"/>
      <c r="JUW22" s="2"/>
      <c r="JUX22" s="2"/>
      <c r="JUY22" s="2"/>
      <c r="JUZ22" s="2"/>
      <c r="JVA22" s="2"/>
      <c r="JVB22" s="2"/>
      <c r="JVC22" s="2"/>
      <c r="JVD22" s="2"/>
      <c r="JVE22" s="2"/>
      <c r="JVF22" s="2"/>
      <c r="JVG22" s="2"/>
      <c r="JVH22" s="2"/>
      <c r="JVI22" s="2"/>
      <c r="JVJ22" s="2"/>
      <c r="JVK22" s="2"/>
      <c r="JVL22" s="2"/>
      <c r="JVM22" s="2"/>
      <c r="JVN22" s="2"/>
      <c r="JVO22" s="2"/>
      <c r="JVP22" s="2"/>
      <c r="JVQ22" s="2"/>
      <c r="JVR22" s="2"/>
      <c r="JVS22" s="2"/>
      <c r="JVT22" s="2"/>
      <c r="JVU22" s="2"/>
      <c r="JVV22" s="2"/>
      <c r="JVW22" s="2"/>
      <c r="JVX22" s="2"/>
      <c r="JVY22" s="2"/>
      <c r="JVZ22" s="2"/>
      <c r="JWA22" s="2"/>
      <c r="JWB22" s="2"/>
      <c r="JWC22" s="2"/>
      <c r="JWD22" s="2"/>
      <c r="JWE22" s="2"/>
      <c r="JWF22" s="2"/>
      <c r="JWG22" s="2"/>
      <c r="JWH22" s="2"/>
      <c r="JWI22" s="2"/>
      <c r="JWJ22" s="2"/>
      <c r="JWK22" s="2"/>
      <c r="JWL22" s="2"/>
      <c r="JWM22" s="2"/>
      <c r="JWN22" s="2"/>
      <c r="JWO22" s="2"/>
      <c r="JWP22" s="2"/>
      <c r="JWQ22" s="2"/>
      <c r="JWR22" s="2"/>
      <c r="JWS22" s="2"/>
      <c r="JWT22" s="2"/>
      <c r="JWU22" s="2"/>
      <c r="JWV22" s="2"/>
      <c r="JWW22" s="2"/>
      <c r="JWX22" s="2"/>
      <c r="JWY22" s="2"/>
      <c r="JWZ22" s="2"/>
      <c r="JXA22" s="2"/>
      <c r="JXB22" s="2"/>
      <c r="JXC22" s="2"/>
      <c r="JXD22" s="2"/>
      <c r="JXE22" s="2"/>
      <c r="JXF22" s="2"/>
      <c r="JXG22" s="2"/>
      <c r="JXH22" s="2"/>
      <c r="JXI22" s="2"/>
      <c r="JXJ22" s="2"/>
      <c r="JXK22" s="2"/>
      <c r="JXL22" s="2"/>
      <c r="JXM22" s="2"/>
      <c r="JXN22" s="2"/>
      <c r="JXO22" s="2"/>
      <c r="JXP22" s="2"/>
      <c r="JXQ22" s="2"/>
      <c r="JXR22" s="2"/>
      <c r="JXS22" s="2"/>
      <c r="JXT22" s="2"/>
      <c r="JXU22" s="2"/>
      <c r="JXV22" s="2"/>
      <c r="JXW22" s="2"/>
      <c r="JXX22" s="2"/>
      <c r="JXY22" s="2"/>
      <c r="JXZ22" s="2"/>
      <c r="JYA22" s="2"/>
      <c r="JYB22" s="2"/>
      <c r="JYC22" s="2"/>
      <c r="JYD22" s="2"/>
      <c r="JYE22" s="2"/>
      <c r="JYF22" s="2"/>
      <c r="JYG22" s="2"/>
      <c r="JYH22" s="2"/>
      <c r="JYI22" s="2"/>
      <c r="JYJ22" s="2"/>
      <c r="JYK22" s="2"/>
      <c r="JYL22" s="2"/>
      <c r="JYM22" s="2"/>
      <c r="JYN22" s="2"/>
      <c r="JYO22" s="2"/>
      <c r="JYP22" s="2"/>
      <c r="JYQ22" s="2"/>
      <c r="JYR22" s="2"/>
      <c r="JYS22" s="2"/>
      <c r="JYT22" s="2"/>
      <c r="JYU22" s="2"/>
      <c r="JYV22" s="2"/>
      <c r="JYW22" s="2"/>
      <c r="JYX22" s="2"/>
      <c r="JYY22" s="2"/>
      <c r="JYZ22" s="2"/>
      <c r="JZA22" s="2"/>
      <c r="JZB22" s="2"/>
      <c r="JZC22" s="2"/>
      <c r="JZD22" s="2"/>
      <c r="JZE22" s="2"/>
      <c r="JZF22" s="2"/>
      <c r="JZG22" s="2"/>
      <c r="JZH22" s="2"/>
      <c r="JZI22" s="2"/>
      <c r="JZJ22" s="2"/>
      <c r="JZK22" s="2"/>
      <c r="JZL22" s="2"/>
      <c r="JZM22" s="2"/>
      <c r="JZN22" s="2"/>
      <c r="JZO22" s="2"/>
      <c r="JZP22" s="2"/>
      <c r="JZQ22" s="2"/>
      <c r="JZR22" s="2"/>
      <c r="JZS22" s="2"/>
      <c r="JZT22" s="2"/>
      <c r="JZU22" s="2"/>
      <c r="JZV22" s="2"/>
      <c r="JZW22" s="2"/>
      <c r="JZX22" s="2"/>
      <c r="JZY22" s="2"/>
      <c r="JZZ22" s="2"/>
      <c r="KAA22" s="2"/>
      <c r="KAB22" s="2"/>
      <c r="KAC22" s="2"/>
      <c r="KAD22" s="2"/>
      <c r="KAE22" s="2"/>
      <c r="KAF22" s="2"/>
      <c r="KAG22" s="2"/>
      <c r="KAH22" s="2"/>
      <c r="KAI22" s="2"/>
      <c r="KAJ22" s="2"/>
      <c r="KAK22" s="2"/>
      <c r="KAL22" s="2"/>
      <c r="KAM22" s="2"/>
      <c r="KAN22" s="2"/>
      <c r="KAO22" s="2"/>
      <c r="KAP22" s="2"/>
      <c r="KAQ22" s="2"/>
      <c r="KAR22" s="2"/>
      <c r="KAS22" s="2"/>
      <c r="KAT22" s="2"/>
      <c r="KAU22" s="2"/>
      <c r="KAV22" s="2"/>
      <c r="KAW22" s="2"/>
      <c r="KAX22" s="2"/>
      <c r="KAY22" s="2"/>
      <c r="KAZ22" s="2"/>
      <c r="KBA22" s="2"/>
      <c r="KBB22" s="2"/>
      <c r="KBC22" s="2"/>
      <c r="KBD22" s="2"/>
      <c r="KBE22" s="2"/>
      <c r="KBF22" s="2"/>
      <c r="KBG22" s="2"/>
      <c r="KBH22" s="2"/>
      <c r="KBI22" s="2"/>
      <c r="KBJ22" s="2"/>
      <c r="KBK22" s="2"/>
      <c r="KBL22" s="2"/>
      <c r="KBM22" s="2"/>
      <c r="KBN22" s="2"/>
      <c r="KBO22" s="2"/>
      <c r="KBP22" s="2"/>
      <c r="KBQ22" s="2"/>
      <c r="KBR22" s="2"/>
      <c r="KBS22" s="2"/>
      <c r="KBT22" s="2"/>
      <c r="KBU22" s="2"/>
      <c r="KBV22" s="2"/>
      <c r="KBW22" s="2"/>
      <c r="KBX22" s="2"/>
      <c r="KBY22" s="2"/>
      <c r="KBZ22" s="2"/>
      <c r="KCA22" s="2"/>
      <c r="KCB22" s="2"/>
      <c r="KCC22" s="2"/>
      <c r="KCD22" s="2"/>
      <c r="KCE22" s="2"/>
      <c r="KCF22" s="2"/>
      <c r="KCG22" s="2"/>
      <c r="KCH22" s="2"/>
      <c r="KCI22" s="2"/>
      <c r="KCJ22" s="2"/>
      <c r="KCK22" s="2"/>
      <c r="KCL22" s="2"/>
      <c r="KCM22" s="2"/>
      <c r="KCN22" s="2"/>
      <c r="KCO22" s="2"/>
      <c r="KCP22" s="2"/>
      <c r="KCQ22" s="2"/>
      <c r="KCR22" s="2"/>
      <c r="KCS22" s="2"/>
      <c r="KCT22" s="2"/>
      <c r="KCU22" s="2"/>
      <c r="KCV22" s="2"/>
      <c r="KCW22" s="2"/>
      <c r="KCX22" s="2"/>
      <c r="KCY22" s="2"/>
      <c r="KCZ22" s="2"/>
      <c r="KDA22" s="2"/>
      <c r="KDB22" s="2"/>
      <c r="KDC22" s="2"/>
      <c r="KDD22" s="2"/>
      <c r="KDE22" s="2"/>
      <c r="KDF22" s="2"/>
      <c r="KDG22" s="2"/>
      <c r="KDH22" s="2"/>
      <c r="KDI22" s="2"/>
      <c r="KDJ22" s="2"/>
      <c r="KDK22" s="2"/>
      <c r="KDL22" s="2"/>
      <c r="KDM22" s="2"/>
      <c r="KDN22" s="2"/>
      <c r="KDO22" s="2"/>
      <c r="KDP22" s="2"/>
      <c r="KDQ22" s="2"/>
      <c r="KDR22" s="2"/>
      <c r="KDS22" s="2"/>
      <c r="KDT22" s="2"/>
      <c r="KDU22" s="2"/>
      <c r="KDV22" s="2"/>
      <c r="KDW22" s="2"/>
      <c r="KDX22" s="2"/>
      <c r="KDY22" s="2"/>
      <c r="KDZ22" s="2"/>
      <c r="KEA22" s="2"/>
      <c r="KEB22" s="2"/>
      <c r="KEC22" s="2"/>
      <c r="KED22" s="2"/>
      <c r="KEE22" s="2"/>
      <c r="KEF22" s="2"/>
      <c r="KEG22" s="2"/>
      <c r="KEH22" s="2"/>
      <c r="KEI22" s="2"/>
      <c r="KEJ22" s="2"/>
      <c r="KEK22" s="2"/>
      <c r="KEL22" s="2"/>
      <c r="KEM22" s="2"/>
      <c r="KEN22" s="2"/>
      <c r="KEO22" s="2"/>
      <c r="KEP22" s="2"/>
      <c r="KEQ22" s="2"/>
      <c r="KER22" s="2"/>
      <c r="KES22" s="2"/>
      <c r="KET22" s="2"/>
      <c r="KEU22" s="2"/>
      <c r="KEV22" s="2"/>
      <c r="KEW22" s="2"/>
      <c r="KEX22" s="2"/>
      <c r="KEY22" s="2"/>
      <c r="KEZ22" s="2"/>
      <c r="KFA22" s="2"/>
      <c r="KFB22" s="2"/>
      <c r="KFC22" s="2"/>
      <c r="KFD22" s="2"/>
      <c r="KFE22" s="2"/>
      <c r="KFF22" s="2"/>
      <c r="KFG22" s="2"/>
      <c r="KFH22" s="2"/>
      <c r="KFI22" s="2"/>
      <c r="KFJ22" s="2"/>
      <c r="KFK22" s="2"/>
      <c r="KFL22" s="2"/>
      <c r="KFM22" s="2"/>
      <c r="KFN22" s="2"/>
      <c r="KFO22" s="2"/>
      <c r="KFP22" s="2"/>
      <c r="KFQ22" s="2"/>
      <c r="KFR22" s="2"/>
      <c r="KFS22" s="2"/>
      <c r="KFT22" s="2"/>
      <c r="KFU22" s="2"/>
      <c r="KFV22" s="2"/>
      <c r="KFW22" s="2"/>
      <c r="KFX22" s="2"/>
      <c r="KFY22" s="2"/>
      <c r="KFZ22" s="2"/>
      <c r="KGA22" s="2"/>
      <c r="KGB22" s="2"/>
      <c r="KGC22" s="2"/>
      <c r="KGD22" s="2"/>
      <c r="KGE22" s="2"/>
      <c r="KGF22" s="2"/>
      <c r="KGG22" s="2"/>
      <c r="KGH22" s="2"/>
      <c r="KGI22" s="2"/>
      <c r="KGJ22" s="2"/>
      <c r="KGK22" s="2"/>
      <c r="KGL22" s="2"/>
      <c r="KGM22" s="2"/>
      <c r="KGN22" s="2"/>
      <c r="KGO22" s="2"/>
      <c r="KGP22" s="2"/>
      <c r="KGQ22" s="2"/>
      <c r="KGR22" s="2"/>
      <c r="KGS22" s="2"/>
      <c r="KGT22" s="2"/>
      <c r="KGU22" s="2"/>
      <c r="KGV22" s="2"/>
      <c r="KGW22" s="2"/>
      <c r="KGX22" s="2"/>
      <c r="KGY22" s="2"/>
      <c r="KGZ22" s="2"/>
      <c r="KHA22" s="2"/>
      <c r="KHB22" s="2"/>
      <c r="KHC22" s="2"/>
      <c r="KHD22" s="2"/>
      <c r="KHE22" s="2"/>
      <c r="KHF22" s="2"/>
      <c r="KHG22" s="2"/>
      <c r="KHH22" s="2"/>
      <c r="KHI22" s="2"/>
      <c r="KHJ22" s="2"/>
      <c r="KHK22" s="2"/>
      <c r="KHL22" s="2"/>
      <c r="KHM22" s="2"/>
      <c r="KHN22" s="2"/>
      <c r="KHO22" s="2"/>
      <c r="KHP22" s="2"/>
      <c r="KHQ22" s="2"/>
      <c r="KHR22" s="2"/>
      <c r="KHS22" s="2"/>
      <c r="KHT22" s="2"/>
      <c r="KHU22" s="2"/>
      <c r="KHV22" s="2"/>
      <c r="KHW22" s="2"/>
      <c r="KHX22" s="2"/>
      <c r="KHY22" s="2"/>
      <c r="KHZ22" s="2"/>
      <c r="KIA22" s="2"/>
      <c r="KIB22" s="2"/>
      <c r="KIC22" s="2"/>
      <c r="KID22" s="2"/>
      <c r="KIE22" s="2"/>
      <c r="KIF22" s="2"/>
      <c r="KIG22" s="2"/>
      <c r="KIH22" s="2"/>
      <c r="KII22" s="2"/>
      <c r="KIJ22" s="2"/>
      <c r="KIK22" s="2"/>
      <c r="KIL22" s="2"/>
      <c r="KIM22" s="2"/>
      <c r="KIN22" s="2"/>
      <c r="KIO22" s="2"/>
      <c r="KIP22" s="2"/>
      <c r="KIQ22" s="2"/>
      <c r="KIR22" s="2"/>
      <c r="KIS22" s="2"/>
      <c r="KIT22" s="2"/>
      <c r="KIU22" s="2"/>
      <c r="KIV22" s="2"/>
      <c r="KIW22" s="2"/>
      <c r="KIX22" s="2"/>
      <c r="KIY22" s="2"/>
      <c r="KIZ22" s="2"/>
      <c r="KJA22" s="2"/>
      <c r="KJB22" s="2"/>
      <c r="KJC22" s="2"/>
      <c r="KJD22" s="2"/>
      <c r="KJE22" s="2"/>
      <c r="KJF22" s="2"/>
      <c r="KJG22" s="2"/>
      <c r="KJH22" s="2"/>
      <c r="KJI22" s="2"/>
      <c r="KJJ22" s="2"/>
      <c r="KJK22" s="2"/>
      <c r="KJL22" s="2"/>
      <c r="KJM22" s="2"/>
      <c r="KJN22" s="2"/>
      <c r="KJO22" s="2"/>
      <c r="KJP22" s="2"/>
      <c r="KJQ22" s="2"/>
      <c r="KJR22" s="2"/>
      <c r="KJS22" s="2"/>
      <c r="KJT22" s="2"/>
      <c r="KJU22" s="2"/>
      <c r="KJV22" s="2"/>
      <c r="KJW22" s="2"/>
      <c r="KJX22" s="2"/>
      <c r="KJY22" s="2"/>
      <c r="KJZ22" s="2"/>
      <c r="KKA22" s="2"/>
      <c r="KKB22" s="2"/>
      <c r="KKC22" s="2"/>
      <c r="KKD22" s="2"/>
      <c r="KKE22" s="2"/>
      <c r="KKF22" s="2"/>
      <c r="KKG22" s="2"/>
      <c r="KKH22" s="2"/>
      <c r="KKI22" s="2"/>
      <c r="KKJ22" s="2"/>
      <c r="KKK22" s="2"/>
      <c r="KKL22" s="2"/>
      <c r="KKM22" s="2"/>
      <c r="KKN22" s="2"/>
      <c r="KKO22" s="2"/>
      <c r="KKP22" s="2"/>
      <c r="KKQ22" s="2"/>
      <c r="KKR22" s="2"/>
      <c r="KKS22" s="2"/>
      <c r="KKT22" s="2"/>
      <c r="KKU22" s="2"/>
      <c r="KKV22" s="2"/>
      <c r="KKW22" s="2"/>
      <c r="KKX22" s="2"/>
      <c r="KKY22" s="2"/>
      <c r="KKZ22" s="2"/>
      <c r="KLA22" s="2"/>
      <c r="KLB22" s="2"/>
      <c r="KLC22" s="2"/>
      <c r="KLD22" s="2"/>
      <c r="KLE22" s="2"/>
      <c r="KLF22" s="2"/>
      <c r="KLG22" s="2"/>
      <c r="KLH22" s="2"/>
      <c r="KLI22" s="2"/>
      <c r="KLJ22" s="2"/>
      <c r="KLK22" s="2"/>
      <c r="KLL22" s="2"/>
      <c r="KLM22" s="2"/>
      <c r="KLN22" s="2"/>
      <c r="KLO22" s="2"/>
      <c r="KLP22" s="2"/>
      <c r="KLQ22" s="2"/>
      <c r="KLR22" s="2"/>
      <c r="KLS22" s="2"/>
      <c r="KLT22" s="2"/>
      <c r="KLU22" s="2"/>
      <c r="KLV22" s="2"/>
      <c r="KLW22" s="2"/>
      <c r="KLX22" s="2"/>
      <c r="KLY22" s="2"/>
      <c r="KLZ22" s="2"/>
      <c r="KMA22" s="2"/>
      <c r="KMB22" s="2"/>
      <c r="KMC22" s="2"/>
      <c r="KMD22" s="2"/>
      <c r="KME22" s="2"/>
      <c r="KMF22" s="2"/>
      <c r="KMG22" s="2"/>
      <c r="KMH22" s="2"/>
      <c r="KMI22" s="2"/>
      <c r="KMJ22" s="2"/>
      <c r="KMK22" s="2"/>
      <c r="KML22" s="2"/>
      <c r="KMM22" s="2"/>
      <c r="KMN22" s="2"/>
      <c r="KMO22" s="2"/>
      <c r="KMP22" s="2"/>
      <c r="KMQ22" s="2"/>
      <c r="KMR22" s="2"/>
      <c r="KMS22" s="2"/>
      <c r="KMT22" s="2"/>
      <c r="KMU22" s="2"/>
      <c r="KMV22" s="2"/>
      <c r="KMW22" s="2"/>
      <c r="KMX22" s="2"/>
      <c r="KMY22" s="2"/>
      <c r="KMZ22" s="2"/>
      <c r="KNA22" s="2"/>
      <c r="KNB22" s="2"/>
      <c r="KNC22" s="2"/>
      <c r="KND22" s="2"/>
      <c r="KNE22" s="2"/>
      <c r="KNF22" s="2"/>
      <c r="KNG22" s="2"/>
      <c r="KNH22" s="2"/>
      <c r="KNI22" s="2"/>
      <c r="KNJ22" s="2"/>
      <c r="KNK22" s="2"/>
      <c r="KNL22" s="2"/>
      <c r="KNM22" s="2"/>
      <c r="KNN22" s="2"/>
      <c r="KNO22" s="2"/>
      <c r="KNP22" s="2"/>
      <c r="KNQ22" s="2"/>
      <c r="KNR22" s="2"/>
      <c r="KNS22" s="2"/>
      <c r="KNT22" s="2"/>
      <c r="KNU22" s="2"/>
      <c r="KNV22" s="2"/>
      <c r="KNW22" s="2"/>
      <c r="KNX22" s="2"/>
      <c r="KNY22" s="2"/>
      <c r="KNZ22" s="2"/>
      <c r="KOA22" s="2"/>
      <c r="KOB22" s="2"/>
      <c r="KOC22" s="2"/>
      <c r="KOD22" s="2"/>
      <c r="KOE22" s="2"/>
      <c r="KOF22" s="2"/>
      <c r="KOG22" s="2"/>
      <c r="KOH22" s="2"/>
      <c r="KOI22" s="2"/>
      <c r="KOJ22" s="2"/>
      <c r="KOK22" s="2"/>
      <c r="KOL22" s="2"/>
      <c r="KOM22" s="2"/>
      <c r="KON22" s="2"/>
      <c r="KOO22" s="2"/>
      <c r="KOP22" s="2"/>
      <c r="KOQ22" s="2"/>
      <c r="KOR22" s="2"/>
      <c r="KOS22" s="2"/>
      <c r="KOT22" s="2"/>
      <c r="KOU22" s="2"/>
      <c r="KOV22" s="2"/>
      <c r="KOW22" s="2"/>
      <c r="KOX22" s="2"/>
      <c r="KOY22" s="2"/>
      <c r="KOZ22" s="2"/>
      <c r="KPA22" s="2"/>
      <c r="KPB22" s="2"/>
      <c r="KPC22" s="2"/>
      <c r="KPD22" s="2"/>
      <c r="KPE22" s="2"/>
      <c r="KPF22" s="2"/>
      <c r="KPG22" s="2"/>
      <c r="KPH22" s="2"/>
      <c r="KPI22" s="2"/>
      <c r="KPJ22" s="2"/>
      <c r="KPK22" s="2"/>
      <c r="KPL22" s="2"/>
      <c r="KPM22" s="2"/>
      <c r="KPN22" s="2"/>
      <c r="KPO22" s="2"/>
      <c r="KPP22" s="2"/>
      <c r="KPQ22" s="2"/>
      <c r="KPR22" s="2"/>
      <c r="KPS22" s="2"/>
      <c r="KPT22" s="2"/>
      <c r="KPU22" s="2"/>
      <c r="KPV22" s="2"/>
      <c r="KPW22" s="2"/>
      <c r="KPX22" s="2"/>
      <c r="KPY22" s="2"/>
      <c r="KPZ22" s="2"/>
      <c r="KQA22" s="2"/>
      <c r="KQB22" s="2"/>
      <c r="KQC22" s="2"/>
      <c r="KQD22" s="2"/>
      <c r="KQE22" s="2"/>
      <c r="KQF22" s="2"/>
      <c r="KQG22" s="2"/>
      <c r="KQH22" s="2"/>
      <c r="KQI22" s="2"/>
      <c r="KQJ22" s="2"/>
      <c r="KQK22" s="2"/>
      <c r="KQL22" s="2"/>
      <c r="KQM22" s="2"/>
      <c r="KQN22" s="2"/>
      <c r="KQO22" s="2"/>
      <c r="KQP22" s="2"/>
      <c r="KQQ22" s="2"/>
      <c r="KQR22" s="2"/>
      <c r="KQS22" s="2"/>
      <c r="KQT22" s="2"/>
      <c r="KQU22" s="2"/>
      <c r="KQV22" s="2"/>
      <c r="KQW22" s="2"/>
      <c r="KQX22" s="2"/>
      <c r="KQY22" s="2"/>
      <c r="KQZ22" s="2"/>
      <c r="KRA22" s="2"/>
      <c r="KRB22" s="2"/>
      <c r="KRC22" s="2"/>
      <c r="KRD22" s="2"/>
      <c r="KRE22" s="2"/>
      <c r="KRF22" s="2"/>
      <c r="KRG22" s="2"/>
      <c r="KRH22" s="2"/>
      <c r="KRI22" s="2"/>
      <c r="KRJ22" s="2"/>
      <c r="KRK22" s="2"/>
      <c r="KRL22" s="2"/>
      <c r="KRM22" s="2"/>
      <c r="KRN22" s="2"/>
      <c r="KRO22" s="2"/>
      <c r="KRP22" s="2"/>
      <c r="KRQ22" s="2"/>
      <c r="KRR22" s="2"/>
      <c r="KRS22" s="2"/>
      <c r="KRT22" s="2"/>
      <c r="KRU22" s="2"/>
      <c r="KRV22" s="2"/>
      <c r="KRW22" s="2"/>
      <c r="KRX22" s="2"/>
      <c r="KRY22" s="2"/>
      <c r="KRZ22" s="2"/>
      <c r="KSA22" s="2"/>
      <c r="KSB22" s="2"/>
      <c r="KSC22" s="2"/>
      <c r="KSD22" s="2"/>
      <c r="KSE22" s="2"/>
      <c r="KSF22" s="2"/>
      <c r="KSG22" s="2"/>
      <c r="KSH22" s="2"/>
      <c r="KSI22" s="2"/>
      <c r="KSJ22" s="2"/>
      <c r="KSK22" s="2"/>
      <c r="KSL22" s="2"/>
      <c r="KSM22" s="2"/>
      <c r="KSN22" s="2"/>
      <c r="KSO22" s="2"/>
      <c r="KSP22" s="2"/>
      <c r="KSQ22" s="2"/>
      <c r="KSR22" s="2"/>
      <c r="KSS22" s="2"/>
      <c r="KST22" s="2"/>
      <c r="KSU22" s="2"/>
      <c r="KSV22" s="2"/>
      <c r="KSW22" s="2"/>
      <c r="KSX22" s="2"/>
      <c r="KSY22" s="2"/>
      <c r="KSZ22" s="2"/>
      <c r="KTA22" s="2"/>
      <c r="KTB22" s="2"/>
      <c r="KTC22" s="2"/>
      <c r="KTD22" s="2"/>
      <c r="KTE22" s="2"/>
      <c r="KTF22" s="2"/>
      <c r="KTG22" s="2"/>
      <c r="KTH22" s="2"/>
      <c r="KTI22" s="2"/>
      <c r="KTJ22" s="2"/>
      <c r="KTK22" s="2"/>
      <c r="KTL22" s="2"/>
      <c r="KTM22" s="2"/>
      <c r="KTN22" s="2"/>
      <c r="KTO22" s="2"/>
      <c r="KTP22" s="2"/>
      <c r="KTQ22" s="2"/>
      <c r="KTR22" s="2"/>
      <c r="KTS22" s="2"/>
      <c r="KTT22" s="2"/>
      <c r="KTU22" s="2"/>
      <c r="KTV22" s="2"/>
      <c r="KTW22" s="2"/>
      <c r="KTX22" s="2"/>
      <c r="KTY22" s="2"/>
      <c r="KTZ22" s="2"/>
      <c r="KUA22" s="2"/>
      <c r="KUB22" s="2"/>
      <c r="KUC22" s="2"/>
      <c r="KUD22" s="2"/>
      <c r="KUE22" s="2"/>
      <c r="KUF22" s="2"/>
      <c r="KUG22" s="2"/>
      <c r="KUH22" s="2"/>
      <c r="KUI22" s="2"/>
      <c r="KUJ22" s="2"/>
      <c r="KUK22" s="2"/>
      <c r="KUL22" s="2"/>
      <c r="KUM22" s="2"/>
      <c r="KUN22" s="2"/>
      <c r="KUO22" s="2"/>
      <c r="KUP22" s="2"/>
      <c r="KUQ22" s="2"/>
      <c r="KUR22" s="2"/>
      <c r="KUS22" s="2"/>
      <c r="KUT22" s="2"/>
      <c r="KUU22" s="2"/>
      <c r="KUV22" s="2"/>
      <c r="KUW22" s="2"/>
      <c r="KUX22" s="2"/>
      <c r="KUY22" s="2"/>
      <c r="KUZ22" s="2"/>
      <c r="KVA22" s="2"/>
      <c r="KVB22" s="2"/>
      <c r="KVC22" s="2"/>
      <c r="KVD22" s="2"/>
      <c r="KVE22" s="2"/>
      <c r="KVF22" s="2"/>
      <c r="KVG22" s="2"/>
      <c r="KVH22" s="2"/>
      <c r="KVI22" s="2"/>
      <c r="KVJ22" s="2"/>
      <c r="KVK22" s="2"/>
      <c r="KVL22" s="2"/>
      <c r="KVM22" s="2"/>
      <c r="KVN22" s="2"/>
      <c r="KVO22" s="2"/>
      <c r="KVP22" s="2"/>
      <c r="KVQ22" s="2"/>
      <c r="KVR22" s="2"/>
      <c r="KVS22" s="2"/>
      <c r="KVT22" s="2"/>
      <c r="KVU22" s="2"/>
      <c r="KVV22" s="2"/>
      <c r="KVW22" s="2"/>
      <c r="KVX22" s="2"/>
      <c r="KVY22" s="2"/>
      <c r="KVZ22" s="2"/>
      <c r="KWA22" s="2"/>
      <c r="KWB22" s="2"/>
      <c r="KWC22" s="2"/>
      <c r="KWD22" s="2"/>
      <c r="KWE22" s="2"/>
      <c r="KWF22" s="2"/>
      <c r="KWG22" s="2"/>
      <c r="KWH22" s="2"/>
      <c r="KWI22" s="2"/>
      <c r="KWJ22" s="2"/>
      <c r="KWK22" s="2"/>
      <c r="KWL22" s="2"/>
      <c r="KWM22" s="2"/>
      <c r="KWN22" s="2"/>
      <c r="KWO22" s="2"/>
      <c r="KWP22" s="2"/>
      <c r="KWQ22" s="2"/>
      <c r="KWR22" s="2"/>
      <c r="KWS22" s="2"/>
      <c r="KWT22" s="2"/>
      <c r="KWU22" s="2"/>
      <c r="KWV22" s="2"/>
      <c r="KWW22" s="2"/>
      <c r="KWX22" s="2"/>
      <c r="KWY22" s="2"/>
      <c r="KWZ22" s="2"/>
      <c r="KXA22" s="2"/>
      <c r="KXB22" s="2"/>
      <c r="KXC22" s="2"/>
      <c r="KXD22" s="2"/>
      <c r="KXE22" s="2"/>
      <c r="KXF22" s="2"/>
      <c r="KXG22" s="2"/>
      <c r="KXH22" s="2"/>
      <c r="KXI22" s="2"/>
      <c r="KXJ22" s="2"/>
      <c r="KXK22" s="2"/>
      <c r="KXL22" s="2"/>
      <c r="KXM22" s="2"/>
      <c r="KXN22" s="2"/>
      <c r="KXO22" s="2"/>
      <c r="KXP22" s="2"/>
      <c r="KXQ22" s="2"/>
      <c r="KXR22" s="2"/>
      <c r="KXS22" s="2"/>
      <c r="KXT22" s="2"/>
      <c r="KXU22" s="2"/>
      <c r="KXV22" s="2"/>
      <c r="KXW22" s="2"/>
      <c r="KXX22" s="2"/>
      <c r="KXY22" s="2"/>
      <c r="KXZ22" s="2"/>
      <c r="KYA22" s="2"/>
      <c r="KYB22" s="2"/>
      <c r="KYC22" s="2"/>
      <c r="KYD22" s="2"/>
      <c r="KYE22" s="2"/>
      <c r="KYF22" s="2"/>
      <c r="KYG22" s="2"/>
      <c r="KYH22" s="2"/>
      <c r="KYI22" s="2"/>
      <c r="KYJ22" s="2"/>
      <c r="KYK22" s="2"/>
      <c r="KYL22" s="2"/>
      <c r="KYM22" s="2"/>
      <c r="KYN22" s="2"/>
      <c r="KYO22" s="2"/>
      <c r="KYP22" s="2"/>
      <c r="KYQ22" s="2"/>
      <c r="KYR22" s="2"/>
      <c r="KYS22" s="2"/>
      <c r="KYT22" s="2"/>
      <c r="KYU22" s="2"/>
      <c r="KYV22" s="2"/>
      <c r="KYW22" s="2"/>
      <c r="KYX22" s="2"/>
      <c r="KYY22" s="2"/>
      <c r="KYZ22" s="2"/>
      <c r="KZA22" s="2"/>
      <c r="KZB22" s="2"/>
      <c r="KZC22" s="2"/>
      <c r="KZD22" s="2"/>
      <c r="KZE22" s="2"/>
      <c r="KZF22" s="2"/>
      <c r="KZG22" s="2"/>
      <c r="KZH22" s="2"/>
      <c r="KZI22" s="2"/>
      <c r="KZJ22" s="2"/>
      <c r="KZK22" s="2"/>
      <c r="KZL22" s="2"/>
      <c r="KZM22" s="2"/>
      <c r="KZN22" s="2"/>
      <c r="KZO22" s="2"/>
      <c r="KZP22" s="2"/>
      <c r="KZQ22" s="2"/>
      <c r="KZR22" s="2"/>
      <c r="KZS22" s="2"/>
      <c r="KZT22" s="2"/>
      <c r="KZU22" s="2"/>
      <c r="KZV22" s="2"/>
      <c r="KZW22" s="2"/>
      <c r="KZX22" s="2"/>
      <c r="KZY22" s="2"/>
      <c r="KZZ22" s="2"/>
      <c r="LAA22" s="2"/>
      <c r="LAB22" s="2"/>
      <c r="LAC22" s="2"/>
      <c r="LAD22" s="2"/>
      <c r="LAE22" s="2"/>
      <c r="LAF22" s="2"/>
      <c r="LAG22" s="2"/>
      <c r="LAH22" s="2"/>
      <c r="LAI22" s="2"/>
      <c r="LAJ22" s="2"/>
      <c r="LAK22" s="2"/>
      <c r="LAL22" s="2"/>
      <c r="LAM22" s="2"/>
      <c r="LAN22" s="2"/>
      <c r="LAO22" s="2"/>
      <c r="LAP22" s="2"/>
      <c r="LAQ22" s="2"/>
      <c r="LAR22" s="2"/>
      <c r="LAS22" s="2"/>
      <c r="LAT22" s="2"/>
      <c r="LAU22" s="2"/>
      <c r="LAV22" s="2"/>
      <c r="LAW22" s="2"/>
      <c r="LAX22" s="2"/>
      <c r="LAY22" s="2"/>
      <c r="LAZ22" s="2"/>
      <c r="LBA22" s="2"/>
      <c r="LBB22" s="2"/>
      <c r="LBC22" s="2"/>
      <c r="LBD22" s="2"/>
      <c r="LBE22" s="2"/>
      <c r="LBF22" s="2"/>
      <c r="LBG22" s="2"/>
      <c r="LBH22" s="2"/>
      <c r="LBI22" s="2"/>
      <c r="LBJ22" s="2"/>
      <c r="LBK22" s="2"/>
      <c r="LBL22" s="2"/>
      <c r="LBM22" s="2"/>
      <c r="LBN22" s="2"/>
      <c r="LBO22" s="2"/>
      <c r="LBP22" s="2"/>
      <c r="LBQ22" s="2"/>
      <c r="LBR22" s="2"/>
      <c r="LBS22" s="2"/>
      <c r="LBT22" s="2"/>
      <c r="LBU22" s="2"/>
      <c r="LBV22" s="2"/>
      <c r="LBW22" s="2"/>
      <c r="LBX22" s="2"/>
      <c r="LBY22" s="2"/>
      <c r="LBZ22" s="2"/>
      <c r="LCA22" s="2"/>
      <c r="LCB22" s="2"/>
      <c r="LCC22" s="2"/>
      <c r="LCD22" s="2"/>
      <c r="LCE22" s="2"/>
      <c r="LCF22" s="2"/>
      <c r="LCG22" s="2"/>
      <c r="LCH22" s="2"/>
      <c r="LCI22" s="2"/>
      <c r="LCJ22" s="2"/>
      <c r="LCK22" s="2"/>
      <c r="LCL22" s="2"/>
      <c r="LCM22" s="2"/>
      <c r="LCN22" s="2"/>
      <c r="LCO22" s="2"/>
      <c r="LCP22" s="2"/>
      <c r="LCQ22" s="2"/>
      <c r="LCR22" s="2"/>
      <c r="LCS22" s="2"/>
      <c r="LCT22" s="2"/>
      <c r="LCU22" s="2"/>
      <c r="LCV22" s="2"/>
      <c r="LCW22" s="2"/>
      <c r="LCX22" s="2"/>
      <c r="LCY22" s="2"/>
      <c r="LCZ22" s="2"/>
      <c r="LDA22" s="2"/>
      <c r="LDB22" s="2"/>
      <c r="LDC22" s="2"/>
      <c r="LDD22" s="2"/>
      <c r="LDE22" s="2"/>
      <c r="LDF22" s="2"/>
      <c r="LDG22" s="2"/>
      <c r="LDH22" s="2"/>
      <c r="LDI22" s="2"/>
      <c r="LDJ22" s="2"/>
      <c r="LDK22" s="2"/>
      <c r="LDL22" s="2"/>
      <c r="LDM22" s="2"/>
      <c r="LDN22" s="2"/>
      <c r="LDO22" s="2"/>
      <c r="LDP22" s="2"/>
      <c r="LDQ22" s="2"/>
      <c r="LDR22" s="2"/>
      <c r="LDS22" s="2"/>
      <c r="LDT22" s="2"/>
      <c r="LDU22" s="2"/>
      <c r="LDV22" s="2"/>
      <c r="LDW22" s="2"/>
      <c r="LDX22" s="2"/>
      <c r="LDY22" s="2"/>
      <c r="LDZ22" s="2"/>
      <c r="LEA22" s="2"/>
      <c r="LEB22" s="2"/>
      <c r="LEC22" s="2"/>
      <c r="LED22" s="2"/>
      <c r="LEE22" s="2"/>
      <c r="LEF22" s="2"/>
      <c r="LEG22" s="2"/>
      <c r="LEH22" s="2"/>
      <c r="LEI22" s="2"/>
      <c r="LEJ22" s="2"/>
      <c r="LEK22" s="2"/>
      <c r="LEL22" s="2"/>
      <c r="LEM22" s="2"/>
      <c r="LEN22" s="2"/>
      <c r="LEO22" s="2"/>
      <c r="LEP22" s="2"/>
      <c r="LEQ22" s="2"/>
      <c r="LER22" s="2"/>
      <c r="LES22" s="2"/>
      <c r="LET22" s="2"/>
      <c r="LEU22" s="2"/>
      <c r="LEV22" s="2"/>
      <c r="LEW22" s="2"/>
      <c r="LEX22" s="2"/>
      <c r="LEY22" s="2"/>
      <c r="LEZ22" s="2"/>
      <c r="LFA22" s="2"/>
      <c r="LFB22" s="2"/>
      <c r="LFC22" s="2"/>
      <c r="LFD22" s="2"/>
      <c r="LFE22" s="2"/>
      <c r="LFF22" s="2"/>
      <c r="LFG22" s="2"/>
      <c r="LFH22" s="2"/>
      <c r="LFI22" s="2"/>
      <c r="LFJ22" s="2"/>
      <c r="LFK22" s="2"/>
      <c r="LFL22" s="2"/>
      <c r="LFM22" s="2"/>
      <c r="LFN22" s="2"/>
      <c r="LFO22" s="2"/>
      <c r="LFP22" s="2"/>
      <c r="LFQ22" s="2"/>
      <c r="LFR22" s="2"/>
      <c r="LFS22" s="2"/>
      <c r="LFT22" s="2"/>
      <c r="LFU22" s="2"/>
      <c r="LFV22" s="2"/>
      <c r="LFW22" s="2"/>
      <c r="LFX22" s="2"/>
      <c r="LFY22" s="2"/>
      <c r="LFZ22" s="2"/>
      <c r="LGA22" s="2"/>
      <c r="LGB22" s="2"/>
      <c r="LGC22" s="2"/>
      <c r="LGD22" s="2"/>
      <c r="LGE22" s="2"/>
      <c r="LGF22" s="2"/>
      <c r="LGG22" s="2"/>
      <c r="LGH22" s="2"/>
      <c r="LGI22" s="2"/>
      <c r="LGJ22" s="2"/>
      <c r="LGK22" s="2"/>
      <c r="LGL22" s="2"/>
      <c r="LGM22" s="2"/>
      <c r="LGN22" s="2"/>
      <c r="LGO22" s="2"/>
      <c r="LGP22" s="2"/>
      <c r="LGQ22" s="2"/>
      <c r="LGR22" s="2"/>
      <c r="LGS22" s="2"/>
      <c r="LGT22" s="2"/>
      <c r="LGU22" s="2"/>
      <c r="LGV22" s="2"/>
      <c r="LGW22" s="2"/>
      <c r="LGX22" s="2"/>
      <c r="LGY22" s="2"/>
      <c r="LGZ22" s="2"/>
      <c r="LHA22" s="2"/>
      <c r="LHB22" s="2"/>
      <c r="LHC22" s="2"/>
      <c r="LHD22" s="2"/>
      <c r="LHE22" s="2"/>
      <c r="LHF22" s="2"/>
      <c r="LHG22" s="2"/>
      <c r="LHH22" s="2"/>
      <c r="LHI22" s="2"/>
      <c r="LHJ22" s="2"/>
      <c r="LHK22" s="2"/>
      <c r="LHL22" s="2"/>
      <c r="LHM22" s="2"/>
      <c r="LHN22" s="2"/>
      <c r="LHO22" s="2"/>
      <c r="LHP22" s="2"/>
      <c r="LHQ22" s="2"/>
      <c r="LHR22" s="2"/>
      <c r="LHS22" s="2"/>
      <c r="LHT22" s="2"/>
      <c r="LHU22" s="2"/>
      <c r="LHV22" s="2"/>
      <c r="LHW22" s="2"/>
      <c r="LHX22" s="2"/>
      <c r="LHY22" s="2"/>
      <c r="LHZ22" s="2"/>
      <c r="LIA22" s="2"/>
      <c r="LIB22" s="2"/>
      <c r="LIC22" s="2"/>
      <c r="LID22" s="2"/>
      <c r="LIE22" s="2"/>
      <c r="LIF22" s="2"/>
      <c r="LIG22" s="2"/>
      <c r="LIH22" s="2"/>
      <c r="LII22" s="2"/>
      <c r="LIJ22" s="2"/>
      <c r="LIK22" s="2"/>
      <c r="LIL22" s="2"/>
      <c r="LIM22" s="2"/>
      <c r="LIN22" s="2"/>
      <c r="LIO22" s="2"/>
      <c r="LIP22" s="2"/>
      <c r="LIQ22" s="2"/>
      <c r="LIR22" s="2"/>
      <c r="LIS22" s="2"/>
      <c r="LIT22" s="2"/>
      <c r="LIU22" s="2"/>
      <c r="LIV22" s="2"/>
      <c r="LIW22" s="2"/>
      <c r="LIX22" s="2"/>
      <c r="LIY22" s="2"/>
      <c r="LIZ22" s="2"/>
      <c r="LJA22" s="2"/>
      <c r="LJB22" s="2"/>
      <c r="LJC22" s="2"/>
      <c r="LJD22" s="2"/>
      <c r="LJE22" s="2"/>
      <c r="LJF22" s="2"/>
      <c r="LJG22" s="2"/>
      <c r="LJH22" s="2"/>
      <c r="LJI22" s="2"/>
      <c r="LJJ22" s="2"/>
      <c r="LJK22" s="2"/>
      <c r="LJL22" s="2"/>
      <c r="LJM22" s="2"/>
      <c r="LJN22" s="2"/>
      <c r="LJO22" s="2"/>
      <c r="LJP22" s="2"/>
      <c r="LJQ22" s="2"/>
      <c r="LJR22" s="2"/>
      <c r="LJS22" s="2"/>
      <c r="LJT22" s="2"/>
      <c r="LJU22" s="2"/>
      <c r="LJV22" s="2"/>
      <c r="LJW22" s="2"/>
      <c r="LJX22" s="2"/>
      <c r="LJY22" s="2"/>
      <c r="LJZ22" s="2"/>
      <c r="LKA22" s="2"/>
      <c r="LKB22" s="2"/>
      <c r="LKC22" s="2"/>
      <c r="LKD22" s="2"/>
      <c r="LKE22" s="2"/>
      <c r="LKF22" s="2"/>
      <c r="LKG22" s="2"/>
      <c r="LKH22" s="2"/>
      <c r="LKI22" s="2"/>
      <c r="LKJ22" s="2"/>
      <c r="LKK22" s="2"/>
      <c r="LKL22" s="2"/>
      <c r="LKM22" s="2"/>
      <c r="LKN22" s="2"/>
      <c r="LKO22" s="2"/>
      <c r="LKP22" s="2"/>
      <c r="LKQ22" s="2"/>
      <c r="LKR22" s="2"/>
      <c r="LKS22" s="2"/>
      <c r="LKT22" s="2"/>
      <c r="LKU22" s="2"/>
      <c r="LKV22" s="2"/>
      <c r="LKW22" s="2"/>
      <c r="LKX22" s="2"/>
      <c r="LKY22" s="2"/>
      <c r="LKZ22" s="2"/>
      <c r="LLA22" s="2"/>
      <c r="LLB22" s="2"/>
      <c r="LLC22" s="2"/>
      <c r="LLD22" s="2"/>
      <c r="LLE22" s="2"/>
      <c r="LLF22" s="2"/>
      <c r="LLG22" s="2"/>
      <c r="LLH22" s="2"/>
      <c r="LLI22" s="2"/>
      <c r="LLJ22" s="2"/>
      <c r="LLK22" s="2"/>
      <c r="LLL22" s="2"/>
      <c r="LLM22" s="2"/>
      <c r="LLN22" s="2"/>
      <c r="LLO22" s="2"/>
      <c r="LLP22" s="2"/>
      <c r="LLQ22" s="2"/>
      <c r="LLR22" s="2"/>
      <c r="LLS22" s="2"/>
      <c r="LLT22" s="2"/>
      <c r="LLU22" s="2"/>
      <c r="LLV22" s="2"/>
      <c r="LLW22" s="2"/>
      <c r="LLX22" s="2"/>
      <c r="LLY22" s="2"/>
      <c r="LLZ22" s="2"/>
      <c r="LMA22" s="2"/>
      <c r="LMB22" s="2"/>
      <c r="LMC22" s="2"/>
      <c r="LMD22" s="2"/>
      <c r="LME22" s="2"/>
      <c r="LMF22" s="2"/>
      <c r="LMG22" s="2"/>
      <c r="LMH22" s="2"/>
      <c r="LMI22" s="2"/>
      <c r="LMJ22" s="2"/>
      <c r="LMK22" s="2"/>
      <c r="LML22" s="2"/>
      <c r="LMM22" s="2"/>
      <c r="LMN22" s="2"/>
      <c r="LMO22" s="2"/>
      <c r="LMP22" s="2"/>
      <c r="LMQ22" s="2"/>
      <c r="LMR22" s="2"/>
      <c r="LMS22" s="2"/>
      <c r="LMT22" s="2"/>
      <c r="LMU22" s="2"/>
      <c r="LMV22" s="2"/>
      <c r="LMW22" s="2"/>
      <c r="LMX22" s="2"/>
      <c r="LMY22" s="2"/>
      <c r="LMZ22" s="2"/>
      <c r="LNA22" s="2"/>
      <c r="LNB22" s="2"/>
      <c r="LNC22" s="2"/>
      <c r="LND22" s="2"/>
      <c r="LNE22" s="2"/>
      <c r="LNF22" s="2"/>
      <c r="LNG22" s="2"/>
      <c r="LNH22" s="2"/>
      <c r="LNI22" s="2"/>
      <c r="LNJ22" s="2"/>
      <c r="LNK22" s="2"/>
      <c r="LNL22" s="2"/>
      <c r="LNM22" s="2"/>
      <c r="LNN22" s="2"/>
      <c r="LNO22" s="2"/>
      <c r="LNP22" s="2"/>
      <c r="LNQ22" s="2"/>
      <c r="LNR22" s="2"/>
      <c r="LNS22" s="2"/>
      <c r="LNT22" s="2"/>
      <c r="LNU22" s="2"/>
      <c r="LNV22" s="2"/>
      <c r="LNW22" s="2"/>
      <c r="LNX22" s="2"/>
      <c r="LNY22" s="2"/>
      <c r="LNZ22" s="2"/>
      <c r="LOA22" s="2"/>
      <c r="LOB22" s="2"/>
      <c r="LOC22" s="2"/>
      <c r="LOD22" s="2"/>
      <c r="LOE22" s="2"/>
      <c r="LOF22" s="2"/>
      <c r="LOG22" s="2"/>
      <c r="LOH22" s="2"/>
      <c r="LOI22" s="2"/>
      <c r="LOJ22" s="2"/>
      <c r="LOK22" s="2"/>
      <c r="LOL22" s="2"/>
      <c r="LOM22" s="2"/>
      <c r="LON22" s="2"/>
      <c r="LOO22" s="2"/>
      <c r="LOP22" s="2"/>
      <c r="LOQ22" s="2"/>
      <c r="LOR22" s="2"/>
      <c r="LOS22" s="2"/>
      <c r="LOT22" s="2"/>
      <c r="LOU22" s="2"/>
      <c r="LOV22" s="2"/>
      <c r="LOW22" s="2"/>
      <c r="LOX22" s="2"/>
      <c r="LOY22" s="2"/>
      <c r="LOZ22" s="2"/>
      <c r="LPA22" s="2"/>
      <c r="LPB22" s="2"/>
      <c r="LPC22" s="2"/>
      <c r="LPD22" s="2"/>
      <c r="LPE22" s="2"/>
      <c r="LPF22" s="2"/>
      <c r="LPG22" s="2"/>
      <c r="LPH22" s="2"/>
      <c r="LPI22" s="2"/>
      <c r="LPJ22" s="2"/>
      <c r="LPK22" s="2"/>
      <c r="LPL22" s="2"/>
      <c r="LPM22" s="2"/>
      <c r="LPN22" s="2"/>
      <c r="LPO22" s="2"/>
      <c r="LPP22" s="2"/>
      <c r="LPQ22" s="2"/>
      <c r="LPR22" s="2"/>
      <c r="LPS22" s="2"/>
      <c r="LPT22" s="2"/>
      <c r="LPU22" s="2"/>
      <c r="LPV22" s="2"/>
      <c r="LPW22" s="2"/>
      <c r="LPX22" s="2"/>
      <c r="LPY22" s="2"/>
      <c r="LPZ22" s="2"/>
      <c r="LQA22" s="2"/>
      <c r="LQB22" s="2"/>
      <c r="LQC22" s="2"/>
      <c r="LQD22" s="2"/>
      <c r="LQE22" s="2"/>
      <c r="LQF22" s="2"/>
      <c r="LQG22" s="2"/>
      <c r="LQH22" s="2"/>
      <c r="LQI22" s="2"/>
      <c r="LQJ22" s="2"/>
      <c r="LQK22" s="2"/>
      <c r="LQL22" s="2"/>
      <c r="LQM22" s="2"/>
      <c r="LQN22" s="2"/>
      <c r="LQO22" s="2"/>
      <c r="LQP22" s="2"/>
      <c r="LQQ22" s="2"/>
      <c r="LQR22" s="2"/>
      <c r="LQS22" s="2"/>
      <c r="LQT22" s="2"/>
      <c r="LQU22" s="2"/>
      <c r="LQV22" s="2"/>
      <c r="LQW22" s="2"/>
      <c r="LQX22" s="2"/>
      <c r="LQY22" s="2"/>
      <c r="LQZ22" s="2"/>
      <c r="LRA22" s="2"/>
      <c r="LRB22" s="2"/>
      <c r="LRC22" s="2"/>
      <c r="LRD22" s="2"/>
      <c r="LRE22" s="2"/>
      <c r="LRF22" s="2"/>
      <c r="LRG22" s="2"/>
      <c r="LRH22" s="2"/>
      <c r="LRI22" s="2"/>
      <c r="LRJ22" s="2"/>
      <c r="LRK22" s="2"/>
      <c r="LRL22" s="2"/>
      <c r="LRM22" s="2"/>
      <c r="LRN22" s="2"/>
      <c r="LRO22" s="2"/>
      <c r="LRP22" s="2"/>
      <c r="LRQ22" s="2"/>
      <c r="LRR22" s="2"/>
      <c r="LRS22" s="2"/>
      <c r="LRT22" s="2"/>
      <c r="LRU22" s="2"/>
      <c r="LRV22" s="2"/>
      <c r="LRW22" s="2"/>
      <c r="LRX22" s="2"/>
      <c r="LRY22" s="2"/>
      <c r="LRZ22" s="2"/>
      <c r="LSA22" s="2"/>
      <c r="LSB22" s="2"/>
      <c r="LSC22" s="2"/>
      <c r="LSD22" s="2"/>
      <c r="LSE22" s="2"/>
      <c r="LSF22" s="2"/>
      <c r="LSG22" s="2"/>
      <c r="LSH22" s="2"/>
      <c r="LSI22" s="2"/>
      <c r="LSJ22" s="2"/>
      <c r="LSK22" s="2"/>
      <c r="LSL22" s="2"/>
      <c r="LSM22" s="2"/>
      <c r="LSN22" s="2"/>
      <c r="LSO22" s="2"/>
      <c r="LSP22" s="2"/>
      <c r="LSQ22" s="2"/>
      <c r="LSR22" s="2"/>
      <c r="LSS22" s="2"/>
      <c r="LST22" s="2"/>
      <c r="LSU22" s="2"/>
      <c r="LSV22" s="2"/>
      <c r="LSW22" s="2"/>
      <c r="LSX22" s="2"/>
      <c r="LSY22" s="2"/>
      <c r="LSZ22" s="2"/>
      <c r="LTA22" s="2"/>
      <c r="LTB22" s="2"/>
      <c r="LTC22" s="2"/>
      <c r="LTD22" s="2"/>
      <c r="LTE22" s="2"/>
      <c r="LTF22" s="2"/>
      <c r="LTG22" s="2"/>
      <c r="LTH22" s="2"/>
      <c r="LTI22" s="2"/>
      <c r="LTJ22" s="2"/>
      <c r="LTK22" s="2"/>
      <c r="LTL22" s="2"/>
      <c r="LTM22" s="2"/>
      <c r="LTN22" s="2"/>
      <c r="LTO22" s="2"/>
      <c r="LTP22" s="2"/>
      <c r="LTQ22" s="2"/>
      <c r="LTR22" s="2"/>
      <c r="LTS22" s="2"/>
      <c r="LTT22" s="2"/>
      <c r="LTU22" s="2"/>
      <c r="LTV22" s="2"/>
      <c r="LTW22" s="2"/>
      <c r="LTX22" s="2"/>
      <c r="LTY22" s="2"/>
      <c r="LTZ22" s="2"/>
      <c r="LUA22" s="2"/>
      <c r="LUB22" s="2"/>
      <c r="LUC22" s="2"/>
      <c r="LUD22" s="2"/>
      <c r="LUE22" s="2"/>
      <c r="LUF22" s="2"/>
      <c r="LUG22" s="2"/>
      <c r="LUH22" s="2"/>
      <c r="LUI22" s="2"/>
      <c r="LUJ22" s="2"/>
      <c r="LUK22" s="2"/>
      <c r="LUL22" s="2"/>
      <c r="LUM22" s="2"/>
      <c r="LUN22" s="2"/>
      <c r="LUO22" s="2"/>
      <c r="LUP22" s="2"/>
      <c r="LUQ22" s="2"/>
      <c r="LUR22" s="2"/>
      <c r="LUS22" s="2"/>
      <c r="LUT22" s="2"/>
      <c r="LUU22" s="2"/>
      <c r="LUV22" s="2"/>
      <c r="LUW22" s="2"/>
      <c r="LUX22" s="2"/>
      <c r="LUY22" s="2"/>
      <c r="LUZ22" s="2"/>
      <c r="LVA22" s="2"/>
      <c r="LVB22" s="2"/>
      <c r="LVC22" s="2"/>
      <c r="LVD22" s="2"/>
      <c r="LVE22" s="2"/>
      <c r="LVF22" s="2"/>
      <c r="LVG22" s="2"/>
      <c r="LVH22" s="2"/>
      <c r="LVI22" s="2"/>
      <c r="LVJ22" s="2"/>
      <c r="LVK22" s="2"/>
      <c r="LVL22" s="2"/>
      <c r="LVM22" s="2"/>
      <c r="LVN22" s="2"/>
      <c r="LVO22" s="2"/>
      <c r="LVP22" s="2"/>
      <c r="LVQ22" s="2"/>
      <c r="LVR22" s="2"/>
      <c r="LVS22" s="2"/>
      <c r="LVT22" s="2"/>
      <c r="LVU22" s="2"/>
      <c r="LVV22" s="2"/>
      <c r="LVW22" s="2"/>
      <c r="LVX22" s="2"/>
      <c r="LVY22" s="2"/>
      <c r="LVZ22" s="2"/>
      <c r="LWA22" s="2"/>
      <c r="LWB22" s="2"/>
      <c r="LWC22" s="2"/>
      <c r="LWD22" s="2"/>
      <c r="LWE22" s="2"/>
      <c r="LWF22" s="2"/>
      <c r="LWG22" s="2"/>
      <c r="LWH22" s="2"/>
      <c r="LWI22" s="2"/>
      <c r="LWJ22" s="2"/>
      <c r="LWK22" s="2"/>
      <c r="LWL22" s="2"/>
      <c r="LWM22" s="2"/>
      <c r="LWN22" s="2"/>
      <c r="LWO22" s="2"/>
      <c r="LWP22" s="2"/>
      <c r="LWQ22" s="2"/>
      <c r="LWR22" s="2"/>
      <c r="LWS22" s="2"/>
      <c r="LWT22" s="2"/>
      <c r="LWU22" s="2"/>
      <c r="LWV22" s="2"/>
      <c r="LWW22" s="2"/>
      <c r="LWX22" s="2"/>
      <c r="LWY22" s="2"/>
      <c r="LWZ22" s="2"/>
      <c r="LXA22" s="2"/>
      <c r="LXB22" s="2"/>
      <c r="LXC22" s="2"/>
      <c r="LXD22" s="2"/>
      <c r="LXE22" s="2"/>
      <c r="LXF22" s="2"/>
      <c r="LXG22" s="2"/>
      <c r="LXH22" s="2"/>
      <c r="LXI22" s="2"/>
      <c r="LXJ22" s="2"/>
      <c r="LXK22" s="2"/>
      <c r="LXL22" s="2"/>
      <c r="LXM22" s="2"/>
      <c r="LXN22" s="2"/>
      <c r="LXO22" s="2"/>
      <c r="LXP22" s="2"/>
      <c r="LXQ22" s="2"/>
      <c r="LXR22" s="2"/>
      <c r="LXS22" s="2"/>
      <c r="LXT22" s="2"/>
      <c r="LXU22" s="2"/>
      <c r="LXV22" s="2"/>
      <c r="LXW22" s="2"/>
      <c r="LXX22" s="2"/>
      <c r="LXY22" s="2"/>
      <c r="LXZ22" s="2"/>
      <c r="LYA22" s="2"/>
      <c r="LYB22" s="2"/>
      <c r="LYC22" s="2"/>
      <c r="LYD22" s="2"/>
      <c r="LYE22" s="2"/>
      <c r="LYF22" s="2"/>
      <c r="LYG22" s="2"/>
      <c r="LYH22" s="2"/>
      <c r="LYI22" s="2"/>
      <c r="LYJ22" s="2"/>
      <c r="LYK22" s="2"/>
      <c r="LYL22" s="2"/>
      <c r="LYM22" s="2"/>
      <c r="LYN22" s="2"/>
      <c r="LYO22" s="2"/>
      <c r="LYP22" s="2"/>
      <c r="LYQ22" s="2"/>
      <c r="LYR22" s="2"/>
      <c r="LYS22" s="2"/>
      <c r="LYT22" s="2"/>
      <c r="LYU22" s="2"/>
      <c r="LYV22" s="2"/>
      <c r="LYW22" s="2"/>
      <c r="LYX22" s="2"/>
      <c r="LYY22" s="2"/>
      <c r="LYZ22" s="2"/>
      <c r="LZA22" s="2"/>
      <c r="LZB22" s="2"/>
      <c r="LZC22" s="2"/>
      <c r="LZD22" s="2"/>
      <c r="LZE22" s="2"/>
      <c r="LZF22" s="2"/>
      <c r="LZG22" s="2"/>
      <c r="LZH22" s="2"/>
      <c r="LZI22" s="2"/>
      <c r="LZJ22" s="2"/>
      <c r="LZK22" s="2"/>
      <c r="LZL22" s="2"/>
      <c r="LZM22" s="2"/>
      <c r="LZN22" s="2"/>
      <c r="LZO22" s="2"/>
      <c r="LZP22" s="2"/>
      <c r="LZQ22" s="2"/>
      <c r="LZR22" s="2"/>
      <c r="LZS22" s="2"/>
      <c r="LZT22" s="2"/>
      <c r="LZU22" s="2"/>
      <c r="LZV22" s="2"/>
      <c r="LZW22" s="2"/>
      <c r="LZX22" s="2"/>
      <c r="LZY22" s="2"/>
      <c r="LZZ22" s="2"/>
      <c r="MAA22" s="2"/>
      <c r="MAB22" s="2"/>
      <c r="MAC22" s="2"/>
      <c r="MAD22" s="2"/>
      <c r="MAE22" s="2"/>
      <c r="MAF22" s="2"/>
      <c r="MAG22" s="2"/>
      <c r="MAH22" s="2"/>
      <c r="MAI22" s="2"/>
      <c r="MAJ22" s="2"/>
      <c r="MAK22" s="2"/>
      <c r="MAL22" s="2"/>
      <c r="MAM22" s="2"/>
      <c r="MAN22" s="2"/>
      <c r="MAO22" s="2"/>
      <c r="MAP22" s="2"/>
      <c r="MAQ22" s="2"/>
      <c r="MAR22" s="2"/>
      <c r="MAS22" s="2"/>
      <c r="MAT22" s="2"/>
      <c r="MAU22" s="2"/>
      <c r="MAV22" s="2"/>
      <c r="MAW22" s="2"/>
      <c r="MAX22" s="2"/>
      <c r="MAY22" s="2"/>
      <c r="MAZ22" s="2"/>
      <c r="MBA22" s="2"/>
      <c r="MBB22" s="2"/>
      <c r="MBC22" s="2"/>
      <c r="MBD22" s="2"/>
      <c r="MBE22" s="2"/>
      <c r="MBF22" s="2"/>
      <c r="MBG22" s="2"/>
      <c r="MBH22" s="2"/>
      <c r="MBI22" s="2"/>
      <c r="MBJ22" s="2"/>
      <c r="MBK22" s="2"/>
      <c r="MBL22" s="2"/>
      <c r="MBM22" s="2"/>
      <c r="MBN22" s="2"/>
      <c r="MBO22" s="2"/>
      <c r="MBP22" s="2"/>
      <c r="MBQ22" s="2"/>
      <c r="MBR22" s="2"/>
      <c r="MBS22" s="2"/>
      <c r="MBT22" s="2"/>
      <c r="MBU22" s="2"/>
      <c r="MBV22" s="2"/>
      <c r="MBW22" s="2"/>
      <c r="MBX22" s="2"/>
      <c r="MBY22" s="2"/>
      <c r="MBZ22" s="2"/>
      <c r="MCA22" s="2"/>
      <c r="MCB22" s="2"/>
      <c r="MCC22" s="2"/>
      <c r="MCD22" s="2"/>
      <c r="MCE22" s="2"/>
      <c r="MCF22" s="2"/>
      <c r="MCG22" s="2"/>
      <c r="MCH22" s="2"/>
      <c r="MCI22" s="2"/>
      <c r="MCJ22" s="2"/>
      <c r="MCK22" s="2"/>
      <c r="MCL22" s="2"/>
      <c r="MCM22" s="2"/>
      <c r="MCN22" s="2"/>
      <c r="MCO22" s="2"/>
      <c r="MCP22" s="2"/>
      <c r="MCQ22" s="2"/>
      <c r="MCR22" s="2"/>
      <c r="MCS22" s="2"/>
      <c r="MCT22" s="2"/>
      <c r="MCU22" s="2"/>
      <c r="MCV22" s="2"/>
      <c r="MCW22" s="2"/>
      <c r="MCX22" s="2"/>
      <c r="MCY22" s="2"/>
      <c r="MCZ22" s="2"/>
      <c r="MDA22" s="2"/>
      <c r="MDB22" s="2"/>
      <c r="MDC22" s="2"/>
      <c r="MDD22" s="2"/>
      <c r="MDE22" s="2"/>
      <c r="MDF22" s="2"/>
      <c r="MDG22" s="2"/>
      <c r="MDH22" s="2"/>
      <c r="MDI22" s="2"/>
      <c r="MDJ22" s="2"/>
      <c r="MDK22" s="2"/>
      <c r="MDL22" s="2"/>
      <c r="MDM22" s="2"/>
      <c r="MDN22" s="2"/>
      <c r="MDO22" s="2"/>
      <c r="MDP22" s="2"/>
      <c r="MDQ22" s="2"/>
      <c r="MDR22" s="2"/>
      <c r="MDS22" s="2"/>
      <c r="MDT22" s="2"/>
      <c r="MDU22" s="2"/>
      <c r="MDV22" s="2"/>
      <c r="MDW22" s="2"/>
      <c r="MDX22" s="2"/>
      <c r="MDY22" s="2"/>
      <c r="MDZ22" s="2"/>
      <c r="MEA22" s="2"/>
      <c r="MEB22" s="2"/>
      <c r="MEC22" s="2"/>
      <c r="MED22" s="2"/>
      <c r="MEE22" s="2"/>
      <c r="MEF22" s="2"/>
      <c r="MEG22" s="2"/>
      <c r="MEH22" s="2"/>
      <c r="MEI22" s="2"/>
      <c r="MEJ22" s="2"/>
      <c r="MEK22" s="2"/>
      <c r="MEL22" s="2"/>
      <c r="MEM22" s="2"/>
      <c r="MEN22" s="2"/>
      <c r="MEO22" s="2"/>
      <c r="MEP22" s="2"/>
      <c r="MEQ22" s="2"/>
      <c r="MER22" s="2"/>
      <c r="MES22" s="2"/>
      <c r="MET22" s="2"/>
      <c r="MEU22" s="2"/>
      <c r="MEV22" s="2"/>
      <c r="MEW22" s="2"/>
      <c r="MEX22" s="2"/>
      <c r="MEY22" s="2"/>
      <c r="MEZ22" s="2"/>
      <c r="MFA22" s="2"/>
      <c r="MFB22" s="2"/>
      <c r="MFC22" s="2"/>
      <c r="MFD22" s="2"/>
      <c r="MFE22" s="2"/>
      <c r="MFF22" s="2"/>
      <c r="MFG22" s="2"/>
      <c r="MFH22" s="2"/>
      <c r="MFI22" s="2"/>
      <c r="MFJ22" s="2"/>
      <c r="MFK22" s="2"/>
      <c r="MFL22" s="2"/>
      <c r="MFM22" s="2"/>
      <c r="MFN22" s="2"/>
      <c r="MFO22" s="2"/>
      <c r="MFP22" s="2"/>
      <c r="MFQ22" s="2"/>
      <c r="MFR22" s="2"/>
      <c r="MFS22" s="2"/>
      <c r="MFT22" s="2"/>
      <c r="MFU22" s="2"/>
      <c r="MFV22" s="2"/>
      <c r="MFW22" s="2"/>
      <c r="MFX22" s="2"/>
      <c r="MFY22" s="2"/>
      <c r="MFZ22" s="2"/>
      <c r="MGA22" s="2"/>
      <c r="MGB22" s="2"/>
      <c r="MGC22" s="2"/>
      <c r="MGD22" s="2"/>
      <c r="MGE22" s="2"/>
      <c r="MGF22" s="2"/>
      <c r="MGG22" s="2"/>
      <c r="MGH22" s="2"/>
      <c r="MGI22" s="2"/>
      <c r="MGJ22" s="2"/>
      <c r="MGK22" s="2"/>
      <c r="MGL22" s="2"/>
      <c r="MGM22" s="2"/>
      <c r="MGN22" s="2"/>
      <c r="MGO22" s="2"/>
      <c r="MGP22" s="2"/>
      <c r="MGQ22" s="2"/>
      <c r="MGR22" s="2"/>
      <c r="MGS22" s="2"/>
      <c r="MGT22" s="2"/>
      <c r="MGU22" s="2"/>
      <c r="MGV22" s="2"/>
      <c r="MGW22" s="2"/>
      <c r="MGX22" s="2"/>
      <c r="MGY22" s="2"/>
      <c r="MGZ22" s="2"/>
      <c r="MHA22" s="2"/>
      <c r="MHB22" s="2"/>
      <c r="MHC22" s="2"/>
      <c r="MHD22" s="2"/>
      <c r="MHE22" s="2"/>
      <c r="MHF22" s="2"/>
      <c r="MHG22" s="2"/>
      <c r="MHH22" s="2"/>
      <c r="MHI22" s="2"/>
      <c r="MHJ22" s="2"/>
      <c r="MHK22" s="2"/>
      <c r="MHL22" s="2"/>
      <c r="MHM22" s="2"/>
      <c r="MHN22" s="2"/>
      <c r="MHO22" s="2"/>
      <c r="MHP22" s="2"/>
      <c r="MHQ22" s="2"/>
      <c r="MHR22" s="2"/>
      <c r="MHS22" s="2"/>
      <c r="MHT22" s="2"/>
      <c r="MHU22" s="2"/>
      <c r="MHV22" s="2"/>
      <c r="MHW22" s="2"/>
      <c r="MHX22" s="2"/>
      <c r="MHY22" s="2"/>
      <c r="MHZ22" s="2"/>
      <c r="MIA22" s="2"/>
      <c r="MIB22" s="2"/>
      <c r="MIC22" s="2"/>
      <c r="MID22" s="2"/>
      <c r="MIE22" s="2"/>
      <c r="MIF22" s="2"/>
      <c r="MIG22" s="2"/>
      <c r="MIH22" s="2"/>
      <c r="MII22" s="2"/>
      <c r="MIJ22" s="2"/>
      <c r="MIK22" s="2"/>
      <c r="MIL22" s="2"/>
      <c r="MIM22" s="2"/>
      <c r="MIN22" s="2"/>
      <c r="MIO22" s="2"/>
      <c r="MIP22" s="2"/>
      <c r="MIQ22" s="2"/>
      <c r="MIR22" s="2"/>
      <c r="MIS22" s="2"/>
      <c r="MIT22" s="2"/>
      <c r="MIU22" s="2"/>
      <c r="MIV22" s="2"/>
      <c r="MIW22" s="2"/>
      <c r="MIX22" s="2"/>
      <c r="MIY22" s="2"/>
      <c r="MIZ22" s="2"/>
      <c r="MJA22" s="2"/>
      <c r="MJB22" s="2"/>
      <c r="MJC22" s="2"/>
      <c r="MJD22" s="2"/>
      <c r="MJE22" s="2"/>
      <c r="MJF22" s="2"/>
      <c r="MJG22" s="2"/>
      <c r="MJH22" s="2"/>
      <c r="MJI22" s="2"/>
      <c r="MJJ22" s="2"/>
      <c r="MJK22" s="2"/>
      <c r="MJL22" s="2"/>
      <c r="MJM22" s="2"/>
      <c r="MJN22" s="2"/>
      <c r="MJO22" s="2"/>
      <c r="MJP22" s="2"/>
      <c r="MJQ22" s="2"/>
      <c r="MJR22" s="2"/>
      <c r="MJS22" s="2"/>
      <c r="MJT22" s="2"/>
      <c r="MJU22" s="2"/>
      <c r="MJV22" s="2"/>
      <c r="MJW22" s="2"/>
      <c r="MJX22" s="2"/>
      <c r="MJY22" s="2"/>
      <c r="MJZ22" s="2"/>
      <c r="MKA22" s="2"/>
      <c r="MKB22" s="2"/>
      <c r="MKC22" s="2"/>
      <c r="MKD22" s="2"/>
      <c r="MKE22" s="2"/>
      <c r="MKF22" s="2"/>
      <c r="MKG22" s="2"/>
      <c r="MKH22" s="2"/>
      <c r="MKI22" s="2"/>
      <c r="MKJ22" s="2"/>
      <c r="MKK22" s="2"/>
      <c r="MKL22" s="2"/>
      <c r="MKM22" s="2"/>
      <c r="MKN22" s="2"/>
      <c r="MKO22" s="2"/>
      <c r="MKP22" s="2"/>
      <c r="MKQ22" s="2"/>
      <c r="MKR22" s="2"/>
      <c r="MKS22" s="2"/>
      <c r="MKT22" s="2"/>
      <c r="MKU22" s="2"/>
      <c r="MKV22" s="2"/>
      <c r="MKW22" s="2"/>
      <c r="MKX22" s="2"/>
      <c r="MKY22" s="2"/>
      <c r="MKZ22" s="2"/>
      <c r="MLA22" s="2"/>
      <c r="MLB22" s="2"/>
      <c r="MLC22" s="2"/>
      <c r="MLD22" s="2"/>
      <c r="MLE22" s="2"/>
      <c r="MLF22" s="2"/>
      <c r="MLG22" s="2"/>
      <c r="MLH22" s="2"/>
      <c r="MLI22" s="2"/>
      <c r="MLJ22" s="2"/>
      <c r="MLK22" s="2"/>
      <c r="MLL22" s="2"/>
      <c r="MLM22" s="2"/>
      <c r="MLN22" s="2"/>
      <c r="MLO22" s="2"/>
      <c r="MLP22" s="2"/>
      <c r="MLQ22" s="2"/>
      <c r="MLR22" s="2"/>
      <c r="MLS22" s="2"/>
      <c r="MLT22" s="2"/>
      <c r="MLU22" s="2"/>
      <c r="MLV22" s="2"/>
      <c r="MLW22" s="2"/>
      <c r="MLX22" s="2"/>
      <c r="MLY22" s="2"/>
      <c r="MLZ22" s="2"/>
      <c r="MMA22" s="2"/>
      <c r="MMB22" s="2"/>
      <c r="MMC22" s="2"/>
      <c r="MMD22" s="2"/>
      <c r="MME22" s="2"/>
      <c r="MMF22" s="2"/>
      <c r="MMG22" s="2"/>
      <c r="MMH22" s="2"/>
      <c r="MMI22" s="2"/>
      <c r="MMJ22" s="2"/>
      <c r="MMK22" s="2"/>
      <c r="MML22" s="2"/>
      <c r="MMM22" s="2"/>
      <c r="MMN22" s="2"/>
      <c r="MMO22" s="2"/>
      <c r="MMP22" s="2"/>
      <c r="MMQ22" s="2"/>
      <c r="MMR22" s="2"/>
      <c r="MMS22" s="2"/>
      <c r="MMT22" s="2"/>
      <c r="MMU22" s="2"/>
      <c r="MMV22" s="2"/>
      <c r="MMW22" s="2"/>
      <c r="MMX22" s="2"/>
      <c r="MMY22" s="2"/>
      <c r="MMZ22" s="2"/>
      <c r="MNA22" s="2"/>
      <c r="MNB22" s="2"/>
      <c r="MNC22" s="2"/>
      <c r="MND22" s="2"/>
      <c r="MNE22" s="2"/>
      <c r="MNF22" s="2"/>
      <c r="MNG22" s="2"/>
      <c r="MNH22" s="2"/>
      <c r="MNI22" s="2"/>
      <c r="MNJ22" s="2"/>
      <c r="MNK22" s="2"/>
      <c r="MNL22" s="2"/>
      <c r="MNM22" s="2"/>
      <c r="MNN22" s="2"/>
      <c r="MNO22" s="2"/>
      <c r="MNP22" s="2"/>
      <c r="MNQ22" s="2"/>
      <c r="MNR22" s="2"/>
      <c r="MNS22" s="2"/>
      <c r="MNT22" s="2"/>
      <c r="MNU22" s="2"/>
      <c r="MNV22" s="2"/>
      <c r="MNW22" s="2"/>
      <c r="MNX22" s="2"/>
      <c r="MNY22" s="2"/>
      <c r="MNZ22" s="2"/>
      <c r="MOA22" s="2"/>
      <c r="MOB22" s="2"/>
      <c r="MOC22" s="2"/>
      <c r="MOD22" s="2"/>
      <c r="MOE22" s="2"/>
      <c r="MOF22" s="2"/>
      <c r="MOG22" s="2"/>
      <c r="MOH22" s="2"/>
      <c r="MOI22" s="2"/>
      <c r="MOJ22" s="2"/>
      <c r="MOK22" s="2"/>
      <c r="MOL22" s="2"/>
      <c r="MOM22" s="2"/>
      <c r="MON22" s="2"/>
      <c r="MOO22" s="2"/>
      <c r="MOP22" s="2"/>
      <c r="MOQ22" s="2"/>
      <c r="MOR22" s="2"/>
      <c r="MOS22" s="2"/>
      <c r="MOT22" s="2"/>
      <c r="MOU22" s="2"/>
      <c r="MOV22" s="2"/>
      <c r="MOW22" s="2"/>
      <c r="MOX22" s="2"/>
      <c r="MOY22" s="2"/>
      <c r="MOZ22" s="2"/>
      <c r="MPA22" s="2"/>
      <c r="MPB22" s="2"/>
      <c r="MPC22" s="2"/>
      <c r="MPD22" s="2"/>
      <c r="MPE22" s="2"/>
      <c r="MPF22" s="2"/>
      <c r="MPG22" s="2"/>
      <c r="MPH22" s="2"/>
      <c r="MPI22" s="2"/>
      <c r="MPJ22" s="2"/>
      <c r="MPK22" s="2"/>
      <c r="MPL22" s="2"/>
      <c r="MPM22" s="2"/>
      <c r="MPN22" s="2"/>
      <c r="MPO22" s="2"/>
      <c r="MPP22" s="2"/>
      <c r="MPQ22" s="2"/>
      <c r="MPR22" s="2"/>
      <c r="MPS22" s="2"/>
      <c r="MPT22" s="2"/>
      <c r="MPU22" s="2"/>
      <c r="MPV22" s="2"/>
      <c r="MPW22" s="2"/>
      <c r="MPX22" s="2"/>
      <c r="MPY22" s="2"/>
      <c r="MPZ22" s="2"/>
      <c r="MQA22" s="2"/>
      <c r="MQB22" s="2"/>
      <c r="MQC22" s="2"/>
      <c r="MQD22" s="2"/>
      <c r="MQE22" s="2"/>
      <c r="MQF22" s="2"/>
      <c r="MQG22" s="2"/>
      <c r="MQH22" s="2"/>
      <c r="MQI22" s="2"/>
      <c r="MQJ22" s="2"/>
      <c r="MQK22" s="2"/>
      <c r="MQL22" s="2"/>
      <c r="MQM22" s="2"/>
      <c r="MQN22" s="2"/>
      <c r="MQO22" s="2"/>
      <c r="MQP22" s="2"/>
      <c r="MQQ22" s="2"/>
      <c r="MQR22" s="2"/>
      <c r="MQS22" s="2"/>
      <c r="MQT22" s="2"/>
      <c r="MQU22" s="2"/>
      <c r="MQV22" s="2"/>
      <c r="MQW22" s="2"/>
      <c r="MQX22" s="2"/>
      <c r="MQY22" s="2"/>
      <c r="MQZ22" s="2"/>
      <c r="MRA22" s="2"/>
      <c r="MRB22" s="2"/>
      <c r="MRC22" s="2"/>
      <c r="MRD22" s="2"/>
      <c r="MRE22" s="2"/>
      <c r="MRF22" s="2"/>
      <c r="MRG22" s="2"/>
      <c r="MRH22" s="2"/>
      <c r="MRI22" s="2"/>
      <c r="MRJ22" s="2"/>
      <c r="MRK22" s="2"/>
      <c r="MRL22" s="2"/>
      <c r="MRM22" s="2"/>
      <c r="MRN22" s="2"/>
      <c r="MRO22" s="2"/>
      <c r="MRP22" s="2"/>
      <c r="MRQ22" s="2"/>
      <c r="MRR22" s="2"/>
      <c r="MRS22" s="2"/>
      <c r="MRT22" s="2"/>
      <c r="MRU22" s="2"/>
      <c r="MRV22" s="2"/>
      <c r="MRW22" s="2"/>
      <c r="MRX22" s="2"/>
      <c r="MRY22" s="2"/>
      <c r="MRZ22" s="2"/>
      <c r="MSA22" s="2"/>
      <c r="MSB22" s="2"/>
      <c r="MSC22" s="2"/>
      <c r="MSD22" s="2"/>
      <c r="MSE22" s="2"/>
      <c r="MSF22" s="2"/>
      <c r="MSG22" s="2"/>
      <c r="MSH22" s="2"/>
      <c r="MSI22" s="2"/>
      <c r="MSJ22" s="2"/>
      <c r="MSK22" s="2"/>
      <c r="MSL22" s="2"/>
      <c r="MSM22" s="2"/>
      <c r="MSN22" s="2"/>
      <c r="MSO22" s="2"/>
      <c r="MSP22" s="2"/>
      <c r="MSQ22" s="2"/>
      <c r="MSR22" s="2"/>
      <c r="MSS22" s="2"/>
      <c r="MST22" s="2"/>
      <c r="MSU22" s="2"/>
      <c r="MSV22" s="2"/>
      <c r="MSW22" s="2"/>
      <c r="MSX22" s="2"/>
      <c r="MSY22" s="2"/>
      <c r="MSZ22" s="2"/>
      <c r="MTA22" s="2"/>
      <c r="MTB22" s="2"/>
      <c r="MTC22" s="2"/>
      <c r="MTD22" s="2"/>
      <c r="MTE22" s="2"/>
      <c r="MTF22" s="2"/>
      <c r="MTG22" s="2"/>
      <c r="MTH22" s="2"/>
      <c r="MTI22" s="2"/>
      <c r="MTJ22" s="2"/>
      <c r="MTK22" s="2"/>
      <c r="MTL22" s="2"/>
      <c r="MTM22" s="2"/>
      <c r="MTN22" s="2"/>
      <c r="MTO22" s="2"/>
      <c r="MTP22" s="2"/>
      <c r="MTQ22" s="2"/>
      <c r="MTR22" s="2"/>
      <c r="MTS22" s="2"/>
      <c r="MTT22" s="2"/>
      <c r="MTU22" s="2"/>
      <c r="MTV22" s="2"/>
      <c r="MTW22" s="2"/>
      <c r="MTX22" s="2"/>
      <c r="MTY22" s="2"/>
      <c r="MTZ22" s="2"/>
      <c r="MUA22" s="2"/>
      <c r="MUB22" s="2"/>
      <c r="MUC22" s="2"/>
      <c r="MUD22" s="2"/>
      <c r="MUE22" s="2"/>
      <c r="MUF22" s="2"/>
      <c r="MUG22" s="2"/>
      <c r="MUH22" s="2"/>
      <c r="MUI22" s="2"/>
      <c r="MUJ22" s="2"/>
      <c r="MUK22" s="2"/>
      <c r="MUL22" s="2"/>
      <c r="MUM22" s="2"/>
      <c r="MUN22" s="2"/>
      <c r="MUO22" s="2"/>
      <c r="MUP22" s="2"/>
      <c r="MUQ22" s="2"/>
      <c r="MUR22" s="2"/>
      <c r="MUS22" s="2"/>
      <c r="MUT22" s="2"/>
      <c r="MUU22" s="2"/>
      <c r="MUV22" s="2"/>
      <c r="MUW22" s="2"/>
      <c r="MUX22" s="2"/>
      <c r="MUY22" s="2"/>
      <c r="MUZ22" s="2"/>
      <c r="MVA22" s="2"/>
      <c r="MVB22" s="2"/>
      <c r="MVC22" s="2"/>
      <c r="MVD22" s="2"/>
      <c r="MVE22" s="2"/>
      <c r="MVF22" s="2"/>
      <c r="MVG22" s="2"/>
      <c r="MVH22" s="2"/>
      <c r="MVI22" s="2"/>
      <c r="MVJ22" s="2"/>
      <c r="MVK22" s="2"/>
      <c r="MVL22" s="2"/>
      <c r="MVM22" s="2"/>
      <c r="MVN22" s="2"/>
      <c r="MVO22" s="2"/>
      <c r="MVP22" s="2"/>
      <c r="MVQ22" s="2"/>
      <c r="MVR22" s="2"/>
      <c r="MVS22" s="2"/>
      <c r="MVT22" s="2"/>
      <c r="MVU22" s="2"/>
      <c r="MVV22" s="2"/>
      <c r="MVW22" s="2"/>
      <c r="MVX22" s="2"/>
      <c r="MVY22" s="2"/>
      <c r="MVZ22" s="2"/>
      <c r="MWA22" s="2"/>
      <c r="MWB22" s="2"/>
      <c r="MWC22" s="2"/>
      <c r="MWD22" s="2"/>
      <c r="MWE22" s="2"/>
      <c r="MWF22" s="2"/>
      <c r="MWG22" s="2"/>
      <c r="MWH22" s="2"/>
      <c r="MWI22" s="2"/>
      <c r="MWJ22" s="2"/>
      <c r="MWK22" s="2"/>
      <c r="MWL22" s="2"/>
      <c r="MWM22" s="2"/>
      <c r="MWN22" s="2"/>
      <c r="MWO22" s="2"/>
      <c r="MWP22" s="2"/>
      <c r="MWQ22" s="2"/>
      <c r="MWR22" s="2"/>
      <c r="MWS22" s="2"/>
      <c r="MWT22" s="2"/>
      <c r="MWU22" s="2"/>
      <c r="MWV22" s="2"/>
      <c r="MWW22" s="2"/>
      <c r="MWX22" s="2"/>
      <c r="MWY22" s="2"/>
      <c r="MWZ22" s="2"/>
      <c r="MXA22" s="2"/>
      <c r="MXB22" s="2"/>
      <c r="MXC22" s="2"/>
      <c r="MXD22" s="2"/>
      <c r="MXE22" s="2"/>
      <c r="MXF22" s="2"/>
      <c r="MXG22" s="2"/>
      <c r="MXH22" s="2"/>
      <c r="MXI22" s="2"/>
      <c r="MXJ22" s="2"/>
      <c r="MXK22" s="2"/>
      <c r="MXL22" s="2"/>
      <c r="MXM22" s="2"/>
      <c r="MXN22" s="2"/>
      <c r="MXO22" s="2"/>
      <c r="MXP22" s="2"/>
      <c r="MXQ22" s="2"/>
      <c r="MXR22" s="2"/>
      <c r="MXS22" s="2"/>
      <c r="MXT22" s="2"/>
      <c r="MXU22" s="2"/>
      <c r="MXV22" s="2"/>
      <c r="MXW22" s="2"/>
      <c r="MXX22" s="2"/>
      <c r="MXY22" s="2"/>
      <c r="MXZ22" s="2"/>
      <c r="MYA22" s="2"/>
      <c r="MYB22" s="2"/>
      <c r="MYC22" s="2"/>
      <c r="MYD22" s="2"/>
      <c r="MYE22" s="2"/>
      <c r="MYF22" s="2"/>
      <c r="MYG22" s="2"/>
      <c r="MYH22" s="2"/>
      <c r="MYI22" s="2"/>
      <c r="MYJ22" s="2"/>
      <c r="MYK22" s="2"/>
      <c r="MYL22" s="2"/>
      <c r="MYM22" s="2"/>
      <c r="MYN22" s="2"/>
      <c r="MYO22" s="2"/>
      <c r="MYP22" s="2"/>
      <c r="MYQ22" s="2"/>
      <c r="MYR22" s="2"/>
      <c r="MYS22" s="2"/>
      <c r="MYT22" s="2"/>
      <c r="MYU22" s="2"/>
      <c r="MYV22" s="2"/>
      <c r="MYW22" s="2"/>
      <c r="MYX22" s="2"/>
      <c r="MYY22" s="2"/>
      <c r="MYZ22" s="2"/>
      <c r="MZA22" s="2"/>
      <c r="MZB22" s="2"/>
      <c r="MZC22" s="2"/>
      <c r="MZD22" s="2"/>
      <c r="MZE22" s="2"/>
      <c r="MZF22" s="2"/>
      <c r="MZG22" s="2"/>
      <c r="MZH22" s="2"/>
      <c r="MZI22" s="2"/>
      <c r="MZJ22" s="2"/>
      <c r="MZK22" s="2"/>
      <c r="MZL22" s="2"/>
      <c r="MZM22" s="2"/>
      <c r="MZN22" s="2"/>
      <c r="MZO22" s="2"/>
      <c r="MZP22" s="2"/>
      <c r="MZQ22" s="2"/>
      <c r="MZR22" s="2"/>
      <c r="MZS22" s="2"/>
      <c r="MZT22" s="2"/>
      <c r="MZU22" s="2"/>
      <c r="MZV22" s="2"/>
      <c r="MZW22" s="2"/>
      <c r="MZX22" s="2"/>
      <c r="MZY22" s="2"/>
      <c r="MZZ22" s="2"/>
      <c r="NAA22" s="2"/>
      <c r="NAB22" s="2"/>
      <c r="NAC22" s="2"/>
      <c r="NAD22" s="2"/>
      <c r="NAE22" s="2"/>
      <c r="NAF22" s="2"/>
      <c r="NAG22" s="2"/>
      <c r="NAH22" s="2"/>
      <c r="NAI22" s="2"/>
      <c r="NAJ22" s="2"/>
      <c r="NAK22" s="2"/>
      <c r="NAL22" s="2"/>
      <c r="NAM22" s="2"/>
      <c r="NAN22" s="2"/>
      <c r="NAO22" s="2"/>
      <c r="NAP22" s="2"/>
      <c r="NAQ22" s="2"/>
      <c r="NAR22" s="2"/>
      <c r="NAS22" s="2"/>
      <c r="NAT22" s="2"/>
      <c r="NAU22" s="2"/>
      <c r="NAV22" s="2"/>
      <c r="NAW22" s="2"/>
      <c r="NAX22" s="2"/>
      <c r="NAY22" s="2"/>
      <c r="NAZ22" s="2"/>
      <c r="NBA22" s="2"/>
      <c r="NBB22" s="2"/>
      <c r="NBC22" s="2"/>
      <c r="NBD22" s="2"/>
      <c r="NBE22" s="2"/>
      <c r="NBF22" s="2"/>
      <c r="NBG22" s="2"/>
      <c r="NBH22" s="2"/>
      <c r="NBI22" s="2"/>
      <c r="NBJ22" s="2"/>
      <c r="NBK22" s="2"/>
      <c r="NBL22" s="2"/>
      <c r="NBM22" s="2"/>
      <c r="NBN22" s="2"/>
      <c r="NBO22" s="2"/>
      <c r="NBP22" s="2"/>
      <c r="NBQ22" s="2"/>
      <c r="NBR22" s="2"/>
      <c r="NBS22" s="2"/>
      <c r="NBT22" s="2"/>
      <c r="NBU22" s="2"/>
      <c r="NBV22" s="2"/>
      <c r="NBW22" s="2"/>
      <c r="NBX22" s="2"/>
      <c r="NBY22" s="2"/>
      <c r="NBZ22" s="2"/>
      <c r="NCA22" s="2"/>
      <c r="NCB22" s="2"/>
      <c r="NCC22" s="2"/>
      <c r="NCD22" s="2"/>
      <c r="NCE22" s="2"/>
      <c r="NCF22" s="2"/>
      <c r="NCG22" s="2"/>
      <c r="NCH22" s="2"/>
      <c r="NCI22" s="2"/>
      <c r="NCJ22" s="2"/>
      <c r="NCK22" s="2"/>
      <c r="NCL22" s="2"/>
      <c r="NCM22" s="2"/>
      <c r="NCN22" s="2"/>
      <c r="NCO22" s="2"/>
      <c r="NCP22" s="2"/>
      <c r="NCQ22" s="2"/>
      <c r="NCR22" s="2"/>
      <c r="NCS22" s="2"/>
      <c r="NCT22" s="2"/>
      <c r="NCU22" s="2"/>
      <c r="NCV22" s="2"/>
      <c r="NCW22" s="2"/>
      <c r="NCX22" s="2"/>
      <c r="NCY22" s="2"/>
      <c r="NCZ22" s="2"/>
      <c r="NDA22" s="2"/>
      <c r="NDB22" s="2"/>
      <c r="NDC22" s="2"/>
      <c r="NDD22" s="2"/>
      <c r="NDE22" s="2"/>
      <c r="NDF22" s="2"/>
      <c r="NDG22" s="2"/>
      <c r="NDH22" s="2"/>
      <c r="NDI22" s="2"/>
      <c r="NDJ22" s="2"/>
      <c r="NDK22" s="2"/>
      <c r="NDL22" s="2"/>
      <c r="NDM22" s="2"/>
      <c r="NDN22" s="2"/>
      <c r="NDO22" s="2"/>
      <c r="NDP22" s="2"/>
      <c r="NDQ22" s="2"/>
      <c r="NDR22" s="2"/>
      <c r="NDS22" s="2"/>
      <c r="NDT22" s="2"/>
      <c r="NDU22" s="2"/>
      <c r="NDV22" s="2"/>
      <c r="NDW22" s="2"/>
      <c r="NDX22" s="2"/>
      <c r="NDY22" s="2"/>
      <c r="NDZ22" s="2"/>
      <c r="NEA22" s="2"/>
      <c r="NEB22" s="2"/>
      <c r="NEC22" s="2"/>
      <c r="NED22" s="2"/>
      <c r="NEE22" s="2"/>
      <c r="NEF22" s="2"/>
      <c r="NEG22" s="2"/>
      <c r="NEH22" s="2"/>
      <c r="NEI22" s="2"/>
      <c r="NEJ22" s="2"/>
      <c r="NEK22" s="2"/>
      <c r="NEL22" s="2"/>
      <c r="NEM22" s="2"/>
      <c r="NEN22" s="2"/>
      <c r="NEO22" s="2"/>
      <c r="NEP22" s="2"/>
      <c r="NEQ22" s="2"/>
      <c r="NER22" s="2"/>
      <c r="NES22" s="2"/>
      <c r="NET22" s="2"/>
      <c r="NEU22" s="2"/>
      <c r="NEV22" s="2"/>
      <c r="NEW22" s="2"/>
      <c r="NEX22" s="2"/>
      <c r="NEY22" s="2"/>
      <c r="NEZ22" s="2"/>
      <c r="NFA22" s="2"/>
      <c r="NFB22" s="2"/>
      <c r="NFC22" s="2"/>
      <c r="NFD22" s="2"/>
      <c r="NFE22" s="2"/>
      <c r="NFF22" s="2"/>
      <c r="NFG22" s="2"/>
      <c r="NFH22" s="2"/>
      <c r="NFI22" s="2"/>
      <c r="NFJ22" s="2"/>
      <c r="NFK22" s="2"/>
      <c r="NFL22" s="2"/>
      <c r="NFM22" s="2"/>
      <c r="NFN22" s="2"/>
      <c r="NFO22" s="2"/>
      <c r="NFP22" s="2"/>
      <c r="NFQ22" s="2"/>
      <c r="NFR22" s="2"/>
      <c r="NFS22" s="2"/>
      <c r="NFT22" s="2"/>
      <c r="NFU22" s="2"/>
      <c r="NFV22" s="2"/>
      <c r="NFW22" s="2"/>
      <c r="NFX22" s="2"/>
      <c r="NFY22" s="2"/>
      <c r="NFZ22" s="2"/>
      <c r="NGA22" s="2"/>
      <c r="NGB22" s="2"/>
      <c r="NGC22" s="2"/>
      <c r="NGD22" s="2"/>
      <c r="NGE22" s="2"/>
      <c r="NGF22" s="2"/>
      <c r="NGG22" s="2"/>
      <c r="NGH22" s="2"/>
      <c r="NGI22" s="2"/>
      <c r="NGJ22" s="2"/>
      <c r="NGK22" s="2"/>
      <c r="NGL22" s="2"/>
      <c r="NGM22" s="2"/>
      <c r="NGN22" s="2"/>
      <c r="NGO22" s="2"/>
      <c r="NGP22" s="2"/>
      <c r="NGQ22" s="2"/>
      <c r="NGR22" s="2"/>
      <c r="NGS22" s="2"/>
      <c r="NGT22" s="2"/>
      <c r="NGU22" s="2"/>
      <c r="NGV22" s="2"/>
      <c r="NGW22" s="2"/>
      <c r="NGX22" s="2"/>
      <c r="NGY22" s="2"/>
      <c r="NGZ22" s="2"/>
      <c r="NHA22" s="2"/>
      <c r="NHB22" s="2"/>
      <c r="NHC22" s="2"/>
      <c r="NHD22" s="2"/>
      <c r="NHE22" s="2"/>
      <c r="NHF22" s="2"/>
      <c r="NHG22" s="2"/>
      <c r="NHH22" s="2"/>
      <c r="NHI22" s="2"/>
      <c r="NHJ22" s="2"/>
      <c r="NHK22" s="2"/>
      <c r="NHL22" s="2"/>
      <c r="NHM22" s="2"/>
      <c r="NHN22" s="2"/>
      <c r="NHO22" s="2"/>
      <c r="NHP22" s="2"/>
      <c r="NHQ22" s="2"/>
      <c r="NHR22" s="2"/>
      <c r="NHS22" s="2"/>
      <c r="NHT22" s="2"/>
      <c r="NHU22" s="2"/>
      <c r="NHV22" s="2"/>
      <c r="NHW22" s="2"/>
      <c r="NHX22" s="2"/>
      <c r="NHY22" s="2"/>
      <c r="NHZ22" s="2"/>
      <c r="NIA22" s="2"/>
      <c r="NIB22" s="2"/>
      <c r="NIC22" s="2"/>
      <c r="NID22" s="2"/>
      <c r="NIE22" s="2"/>
      <c r="NIF22" s="2"/>
      <c r="NIG22" s="2"/>
      <c r="NIH22" s="2"/>
      <c r="NII22" s="2"/>
      <c r="NIJ22" s="2"/>
      <c r="NIK22" s="2"/>
      <c r="NIL22" s="2"/>
      <c r="NIM22" s="2"/>
      <c r="NIN22" s="2"/>
      <c r="NIO22" s="2"/>
      <c r="NIP22" s="2"/>
      <c r="NIQ22" s="2"/>
      <c r="NIR22" s="2"/>
      <c r="NIS22" s="2"/>
      <c r="NIT22" s="2"/>
      <c r="NIU22" s="2"/>
      <c r="NIV22" s="2"/>
      <c r="NIW22" s="2"/>
      <c r="NIX22" s="2"/>
      <c r="NIY22" s="2"/>
      <c r="NIZ22" s="2"/>
      <c r="NJA22" s="2"/>
      <c r="NJB22" s="2"/>
      <c r="NJC22" s="2"/>
      <c r="NJD22" s="2"/>
      <c r="NJE22" s="2"/>
      <c r="NJF22" s="2"/>
      <c r="NJG22" s="2"/>
      <c r="NJH22" s="2"/>
      <c r="NJI22" s="2"/>
      <c r="NJJ22" s="2"/>
      <c r="NJK22" s="2"/>
      <c r="NJL22" s="2"/>
      <c r="NJM22" s="2"/>
      <c r="NJN22" s="2"/>
      <c r="NJO22" s="2"/>
      <c r="NJP22" s="2"/>
      <c r="NJQ22" s="2"/>
      <c r="NJR22" s="2"/>
      <c r="NJS22" s="2"/>
      <c r="NJT22" s="2"/>
      <c r="NJU22" s="2"/>
      <c r="NJV22" s="2"/>
      <c r="NJW22" s="2"/>
      <c r="NJX22" s="2"/>
      <c r="NJY22" s="2"/>
      <c r="NJZ22" s="2"/>
      <c r="NKA22" s="2"/>
      <c r="NKB22" s="2"/>
      <c r="NKC22" s="2"/>
      <c r="NKD22" s="2"/>
      <c r="NKE22" s="2"/>
      <c r="NKF22" s="2"/>
      <c r="NKG22" s="2"/>
      <c r="NKH22" s="2"/>
      <c r="NKI22" s="2"/>
      <c r="NKJ22" s="2"/>
      <c r="NKK22" s="2"/>
      <c r="NKL22" s="2"/>
      <c r="NKM22" s="2"/>
      <c r="NKN22" s="2"/>
      <c r="NKO22" s="2"/>
      <c r="NKP22" s="2"/>
      <c r="NKQ22" s="2"/>
      <c r="NKR22" s="2"/>
      <c r="NKS22" s="2"/>
      <c r="NKT22" s="2"/>
      <c r="NKU22" s="2"/>
      <c r="NKV22" s="2"/>
      <c r="NKW22" s="2"/>
      <c r="NKX22" s="2"/>
      <c r="NKY22" s="2"/>
      <c r="NKZ22" s="2"/>
      <c r="NLA22" s="2"/>
      <c r="NLB22" s="2"/>
      <c r="NLC22" s="2"/>
      <c r="NLD22" s="2"/>
      <c r="NLE22" s="2"/>
      <c r="NLF22" s="2"/>
      <c r="NLG22" s="2"/>
      <c r="NLH22" s="2"/>
      <c r="NLI22" s="2"/>
      <c r="NLJ22" s="2"/>
      <c r="NLK22" s="2"/>
      <c r="NLL22" s="2"/>
      <c r="NLM22" s="2"/>
      <c r="NLN22" s="2"/>
      <c r="NLO22" s="2"/>
      <c r="NLP22" s="2"/>
      <c r="NLQ22" s="2"/>
      <c r="NLR22" s="2"/>
      <c r="NLS22" s="2"/>
      <c r="NLT22" s="2"/>
      <c r="NLU22" s="2"/>
      <c r="NLV22" s="2"/>
      <c r="NLW22" s="2"/>
      <c r="NLX22" s="2"/>
      <c r="NLY22" s="2"/>
      <c r="NLZ22" s="2"/>
      <c r="NMA22" s="2"/>
      <c r="NMB22" s="2"/>
      <c r="NMC22" s="2"/>
      <c r="NMD22" s="2"/>
      <c r="NME22" s="2"/>
      <c r="NMF22" s="2"/>
      <c r="NMG22" s="2"/>
      <c r="NMH22" s="2"/>
      <c r="NMI22" s="2"/>
      <c r="NMJ22" s="2"/>
      <c r="NMK22" s="2"/>
      <c r="NML22" s="2"/>
      <c r="NMM22" s="2"/>
      <c r="NMN22" s="2"/>
      <c r="NMO22" s="2"/>
      <c r="NMP22" s="2"/>
      <c r="NMQ22" s="2"/>
      <c r="NMR22" s="2"/>
      <c r="NMS22" s="2"/>
      <c r="NMT22" s="2"/>
      <c r="NMU22" s="2"/>
      <c r="NMV22" s="2"/>
      <c r="NMW22" s="2"/>
      <c r="NMX22" s="2"/>
      <c r="NMY22" s="2"/>
      <c r="NMZ22" s="2"/>
      <c r="NNA22" s="2"/>
      <c r="NNB22" s="2"/>
      <c r="NNC22" s="2"/>
      <c r="NND22" s="2"/>
      <c r="NNE22" s="2"/>
      <c r="NNF22" s="2"/>
      <c r="NNG22" s="2"/>
      <c r="NNH22" s="2"/>
      <c r="NNI22" s="2"/>
      <c r="NNJ22" s="2"/>
      <c r="NNK22" s="2"/>
      <c r="NNL22" s="2"/>
      <c r="NNM22" s="2"/>
      <c r="NNN22" s="2"/>
      <c r="NNO22" s="2"/>
      <c r="NNP22" s="2"/>
      <c r="NNQ22" s="2"/>
      <c r="NNR22" s="2"/>
      <c r="NNS22" s="2"/>
      <c r="NNT22" s="2"/>
      <c r="NNU22" s="2"/>
      <c r="NNV22" s="2"/>
      <c r="NNW22" s="2"/>
      <c r="NNX22" s="2"/>
      <c r="NNY22" s="2"/>
      <c r="NNZ22" s="2"/>
      <c r="NOA22" s="2"/>
      <c r="NOB22" s="2"/>
      <c r="NOC22" s="2"/>
      <c r="NOD22" s="2"/>
      <c r="NOE22" s="2"/>
      <c r="NOF22" s="2"/>
      <c r="NOG22" s="2"/>
      <c r="NOH22" s="2"/>
      <c r="NOI22" s="2"/>
      <c r="NOJ22" s="2"/>
      <c r="NOK22" s="2"/>
      <c r="NOL22" s="2"/>
      <c r="NOM22" s="2"/>
      <c r="NON22" s="2"/>
      <c r="NOO22" s="2"/>
      <c r="NOP22" s="2"/>
      <c r="NOQ22" s="2"/>
      <c r="NOR22" s="2"/>
      <c r="NOS22" s="2"/>
      <c r="NOT22" s="2"/>
      <c r="NOU22" s="2"/>
      <c r="NOV22" s="2"/>
      <c r="NOW22" s="2"/>
      <c r="NOX22" s="2"/>
      <c r="NOY22" s="2"/>
      <c r="NOZ22" s="2"/>
      <c r="NPA22" s="2"/>
      <c r="NPB22" s="2"/>
      <c r="NPC22" s="2"/>
      <c r="NPD22" s="2"/>
      <c r="NPE22" s="2"/>
      <c r="NPF22" s="2"/>
      <c r="NPG22" s="2"/>
      <c r="NPH22" s="2"/>
      <c r="NPI22" s="2"/>
      <c r="NPJ22" s="2"/>
      <c r="NPK22" s="2"/>
      <c r="NPL22" s="2"/>
      <c r="NPM22" s="2"/>
      <c r="NPN22" s="2"/>
      <c r="NPO22" s="2"/>
      <c r="NPP22" s="2"/>
      <c r="NPQ22" s="2"/>
      <c r="NPR22" s="2"/>
      <c r="NPS22" s="2"/>
      <c r="NPT22" s="2"/>
      <c r="NPU22" s="2"/>
      <c r="NPV22" s="2"/>
      <c r="NPW22" s="2"/>
      <c r="NPX22" s="2"/>
      <c r="NPY22" s="2"/>
      <c r="NPZ22" s="2"/>
      <c r="NQA22" s="2"/>
      <c r="NQB22" s="2"/>
      <c r="NQC22" s="2"/>
      <c r="NQD22" s="2"/>
      <c r="NQE22" s="2"/>
      <c r="NQF22" s="2"/>
      <c r="NQG22" s="2"/>
      <c r="NQH22" s="2"/>
      <c r="NQI22" s="2"/>
      <c r="NQJ22" s="2"/>
      <c r="NQK22" s="2"/>
      <c r="NQL22" s="2"/>
      <c r="NQM22" s="2"/>
      <c r="NQN22" s="2"/>
      <c r="NQO22" s="2"/>
      <c r="NQP22" s="2"/>
      <c r="NQQ22" s="2"/>
      <c r="NQR22" s="2"/>
      <c r="NQS22" s="2"/>
      <c r="NQT22" s="2"/>
      <c r="NQU22" s="2"/>
      <c r="NQV22" s="2"/>
      <c r="NQW22" s="2"/>
      <c r="NQX22" s="2"/>
      <c r="NQY22" s="2"/>
      <c r="NQZ22" s="2"/>
      <c r="NRA22" s="2"/>
      <c r="NRB22" s="2"/>
      <c r="NRC22" s="2"/>
      <c r="NRD22" s="2"/>
      <c r="NRE22" s="2"/>
      <c r="NRF22" s="2"/>
      <c r="NRG22" s="2"/>
      <c r="NRH22" s="2"/>
      <c r="NRI22" s="2"/>
      <c r="NRJ22" s="2"/>
      <c r="NRK22" s="2"/>
      <c r="NRL22" s="2"/>
      <c r="NRM22" s="2"/>
      <c r="NRN22" s="2"/>
      <c r="NRO22" s="2"/>
      <c r="NRP22" s="2"/>
      <c r="NRQ22" s="2"/>
      <c r="NRR22" s="2"/>
      <c r="NRS22" s="2"/>
      <c r="NRT22" s="2"/>
      <c r="NRU22" s="2"/>
      <c r="NRV22" s="2"/>
      <c r="NRW22" s="2"/>
      <c r="NRX22" s="2"/>
      <c r="NRY22" s="2"/>
      <c r="NRZ22" s="2"/>
      <c r="NSA22" s="2"/>
      <c r="NSB22" s="2"/>
      <c r="NSC22" s="2"/>
      <c r="NSD22" s="2"/>
      <c r="NSE22" s="2"/>
      <c r="NSF22" s="2"/>
      <c r="NSG22" s="2"/>
      <c r="NSH22" s="2"/>
      <c r="NSI22" s="2"/>
      <c r="NSJ22" s="2"/>
      <c r="NSK22" s="2"/>
      <c r="NSL22" s="2"/>
      <c r="NSM22" s="2"/>
      <c r="NSN22" s="2"/>
      <c r="NSO22" s="2"/>
      <c r="NSP22" s="2"/>
      <c r="NSQ22" s="2"/>
      <c r="NSR22" s="2"/>
      <c r="NSS22" s="2"/>
      <c r="NST22" s="2"/>
      <c r="NSU22" s="2"/>
      <c r="NSV22" s="2"/>
      <c r="NSW22" s="2"/>
      <c r="NSX22" s="2"/>
      <c r="NSY22" s="2"/>
      <c r="NSZ22" s="2"/>
      <c r="NTA22" s="2"/>
      <c r="NTB22" s="2"/>
      <c r="NTC22" s="2"/>
      <c r="NTD22" s="2"/>
      <c r="NTE22" s="2"/>
      <c r="NTF22" s="2"/>
      <c r="NTG22" s="2"/>
      <c r="NTH22" s="2"/>
      <c r="NTI22" s="2"/>
      <c r="NTJ22" s="2"/>
      <c r="NTK22" s="2"/>
      <c r="NTL22" s="2"/>
      <c r="NTM22" s="2"/>
      <c r="NTN22" s="2"/>
      <c r="NTO22" s="2"/>
      <c r="NTP22" s="2"/>
      <c r="NTQ22" s="2"/>
      <c r="NTR22" s="2"/>
      <c r="NTS22" s="2"/>
      <c r="NTT22" s="2"/>
      <c r="NTU22" s="2"/>
      <c r="NTV22" s="2"/>
      <c r="NTW22" s="2"/>
      <c r="NTX22" s="2"/>
      <c r="NTY22" s="2"/>
      <c r="NTZ22" s="2"/>
      <c r="NUA22" s="2"/>
      <c r="NUB22" s="2"/>
      <c r="NUC22" s="2"/>
      <c r="NUD22" s="2"/>
      <c r="NUE22" s="2"/>
      <c r="NUF22" s="2"/>
      <c r="NUG22" s="2"/>
      <c r="NUH22" s="2"/>
      <c r="NUI22" s="2"/>
      <c r="NUJ22" s="2"/>
      <c r="NUK22" s="2"/>
      <c r="NUL22" s="2"/>
      <c r="NUM22" s="2"/>
      <c r="NUN22" s="2"/>
      <c r="NUO22" s="2"/>
      <c r="NUP22" s="2"/>
      <c r="NUQ22" s="2"/>
      <c r="NUR22" s="2"/>
      <c r="NUS22" s="2"/>
      <c r="NUT22" s="2"/>
      <c r="NUU22" s="2"/>
      <c r="NUV22" s="2"/>
      <c r="NUW22" s="2"/>
      <c r="NUX22" s="2"/>
      <c r="NUY22" s="2"/>
      <c r="NUZ22" s="2"/>
      <c r="NVA22" s="2"/>
      <c r="NVB22" s="2"/>
      <c r="NVC22" s="2"/>
      <c r="NVD22" s="2"/>
      <c r="NVE22" s="2"/>
      <c r="NVF22" s="2"/>
      <c r="NVG22" s="2"/>
      <c r="NVH22" s="2"/>
      <c r="NVI22" s="2"/>
      <c r="NVJ22" s="2"/>
      <c r="NVK22" s="2"/>
      <c r="NVL22" s="2"/>
      <c r="NVM22" s="2"/>
      <c r="NVN22" s="2"/>
      <c r="NVO22" s="2"/>
      <c r="NVP22" s="2"/>
      <c r="NVQ22" s="2"/>
      <c r="NVR22" s="2"/>
      <c r="NVS22" s="2"/>
      <c r="NVT22" s="2"/>
      <c r="NVU22" s="2"/>
      <c r="NVV22" s="2"/>
      <c r="NVW22" s="2"/>
      <c r="NVX22" s="2"/>
      <c r="NVY22" s="2"/>
      <c r="NVZ22" s="2"/>
      <c r="NWA22" s="2"/>
      <c r="NWB22" s="2"/>
      <c r="NWC22" s="2"/>
      <c r="NWD22" s="2"/>
      <c r="NWE22" s="2"/>
      <c r="NWF22" s="2"/>
      <c r="NWG22" s="2"/>
      <c r="NWH22" s="2"/>
      <c r="NWI22" s="2"/>
      <c r="NWJ22" s="2"/>
      <c r="NWK22" s="2"/>
      <c r="NWL22" s="2"/>
      <c r="NWM22" s="2"/>
      <c r="NWN22" s="2"/>
      <c r="NWO22" s="2"/>
      <c r="NWP22" s="2"/>
      <c r="NWQ22" s="2"/>
      <c r="NWR22" s="2"/>
      <c r="NWS22" s="2"/>
      <c r="NWT22" s="2"/>
      <c r="NWU22" s="2"/>
      <c r="NWV22" s="2"/>
      <c r="NWW22" s="2"/>
      <c r="NWX22" s="2"/>
      <c r="NWY22" s="2"/>
      <c r="NWZ22" s="2"/>
      <c r="NXA22" s="2"/>
      <c r="NXB22" s="2"/>
      <c r="NXC22" s="2"/>
      <c r="NXD22" s="2"/>
      <c r="NXE22" s="2"/>
      <c r="NXF22" s="2"/>
      <c r="NXG22" s="2"/>
      <c r="NXH22" s="2"/>
      <c r="NXI22" s="2"/>
      <c r="NXJ22" s="2"/>
      <c r="NXK22" s="2"/>
      <c r="NXL22" s="2"/>
      <c r="NXM22" s="2"/>
      <c r="NXN22" s="2"/>
      <c r="NXO22" s="2"/>
      <c r="NXP22" s="2"/>
      <c r="NXQ22" s="2"/>
      <c r="NXR22" s="2"/>
      <c r="NXS22" s="2"/>
      <c r="NXT22" s="2"/>
      <c r="NXU22" s="2"/>
      <c r="NXV22" s="2"/>
      <c r="NXW22" s="2"/>
      <c r="NXX22" s="2"/>
      <c r="NXY22" s="2"/>
      <c r="NXZ22" s="2"/>
      <c r="NYA22" s="2"/>
      <c r="NYB22" s="2"/>
      <c r="NYC22" s="2"/>
      <c r="NYD22" s="2"/>
      <c r="NYE22" s="2"/>
      <c r="NYF22" s="2"/>
      <c r="NYG22" s="2"/>
      <c r="NYH22" s="2"/>
      <c r="NYI22" s="2"/>
      <c r="NYJ22" s="2"/>
      <c r="NYK22" s="2"/>
      <c r="NYL22" s="2"/>
      <c r="NYM22" s="2"/>
      <c r="NYN22" s="2"/>
      <c r="NYO22" s="2"/>
      <c r="NYP22" s="2"/>
      <c r="NYQ22" s="2"/>
      <c r="NYR22" s="2"/>
      <c r="NYS22" s="2"/>
      <c r="NYT22" s="2"/>
      <c r="NYU22" s="2"/>
      <c r="NYV22" s="2"/>
      <c r="NYW22" s="2"/>
      <c r="NYX22" s="2"/>
      <c r="NYY22" s="2"/>
      <c r="NYZ22" s="2"/>
      <c r="NZA22" s="2"/>
      <c r="NZB22" s="2"/>
      <c r="NZC22" s="2"/>
      <c r="NZD22" s="2"/>
      <c r="NZE22" s="2"/>
      <c r="NZF22" s="2"/>
      <c r="NZG22" s="2"/>
      <c r="NZH22" s="2"/>
      <c r="NZI22" s="2"/>
      <c r="NZJ22" s="2"/>
      <c r="NZK22" s="2"/>
      <c r="NZL22" s="2"/>
      <c r="NZM22" s="2"/>
      <c r="NZN22" s="2"/>
      <c r="NZO22" s="2"/>
      <c r="NZP22" s="2"/>
      <c r="NZQ22" s="2"/>
      <c r="NZR22" s="2"/>
      <c r="NZS22" s="2"/>
      <c r="NZT22" s="2"/>
      <c r="NZU22" s="2"/>
      <c r="NZV22" s="2"/>
      <c r="NZW22" s="2"/>
      <c r="NZX22" s="2"/>
      <c r="NZY22" s="2"/>
      <c r="NZZ22" s="2"/>
      <c r="OAA22" s="2"/>
      <c r="OAB22" s="2"/>
      <c r="OAC22" s="2"/>
      <c r="OAD22" s="2"/>
      <c r="OAE22" s="2"/>
      <c r="OAF22" s="2"/>
      <c r="OAG22" s="2"/>
      <c r="OAH22" s="2"/>
      <c r="OAI22" s="2"/>
      <c r="OAJ22" s="2"/>
      <c r="OAK22" s="2"/>
      <c r="OAL22" s="2"/>
      <c r="OAM22" s="2"/>
      <c r="OAN22" s="2"/>
      <c r="OAO22" s="2"/>
      <c r="OAP22" s="2"/>
      <c r="OAQ22" s="2"/>
      <c r="OAR22" s="2"/>
      <c r="OAS22" s="2"/>
      <c r="OAT22" s="2"/>
      <c r="OAU22" s="2"/>
      <c r="OAV22" s="2"/>
      <c r="OAW22" s="2"/>
      <c r="OAX22" s="2"/>
      <c r="OAY22" s="2"/>
      <c r="OAZ22" s="2"/>
      <c r="OBA22" s="2"/>
      <c r="OBB22" s="2"/>
      <c r="OBC22" s="2"/>
      <c r="OBD22" s="2"/>
      <c r="OBE22" s="2"/>
      <c r="OBF22" s="2"/>
      <c r="OBG22" s="2"/>
      <c r="OBH22" s="2"/>
      <c r="OBI22" s="2"/>
      <c r="OBJ22" s="2"/>
      <c r="OBK22" s="2"/>
      <c r="OBL22" s="2"/>
      <c r="OBM22" s="2"/>
      <c r="OBN22" s="2"/>
      <c r="OBO22" s="2"/>
      <c r="OBP22" s="2"/>
      <c r="OBQ22" s="2"/>
      <c r="OBR22" s="2"/>
      <c r="OBS22" s="2"/>
      <c r="OBT22" s="2"/>
      <c r="OBU22" s="2"/>
      <c r="OBV22" s="2"/>
      <c r="OBW22" s="2"/>
      <c r="OBX22" s="2"/>
      <c r="OBY22" s="2"/>
      <c r="OBZ22" s="2"/>
      <c r="OCA22" s="2"/>
      <c r="OCB22" s="2"/>
      <c r="OCC22" s="2"/>
      <c r="OCD22" s="2"/>
      <c r="OCE22" s="2"/>
      <c r="OCF22" s="2"/>
      <c r="OCG22" s="2"/>
      <c r="OCH22" s="2"/>
      <c r="OCI22" s="2"/>
      <c r="OCJ22" s="2"/>
      <c r="OCK22" s="2"/>
      <c r="OCL22" s="2"/>
      <c r="OCM22" s="2"/>
      <c r="OCN22" s="2"/>
      <c r="OCO22" s="2"/>
      <c r="OCP22" s="2"/>
      <c r="OCQ22" s="2"/>
      <c r="OCR22" s="2"/>
      <c r="OCS22" s="2"/>
      <c r="OCT22" s="2"/>
      <c r="OCU22" s="2"/>
      <c r="OCV22" s="2"/>
      <c r="OCW22" s="2"/>
      <c r="OCX22" s="2"/>
      <c r="OCY22" s="2"/>
      <c r="OCZ22" s="2"/>
      <c r="ODA22" s="2"/>
      <c r="ODB22" s="2"/>
      <c r="ODC22" s="2"/>
      <c r="ODD22" s="2"/>
      <c r="ODE22" s="2"/>
      <c r="ODF22" s="2"/>
      <c r="ODG22" s="2"/>
      <c r="ODH22" s="2"/>
      <c r="ODI22" s="2"/>
      <c r="ODJ22" s="2"/>
      <c r="ODK22" s="2"/>
      <c r="ODL22" s="2"/>
      <c r="ODM22" s="2"/>
      <c r="ODN22" s="2"/>
      <c r="ODO22" s="2"/>
      <c r="ODP22" s="2"/>
      <c r="ODQ22" s="2"/>
      <c r="ODR22" s="2"/>
      <c r="ODS22" s="2"/>
      <c r="ODT22" s="2"/>
      <c r="ODU22" s="2"/>
      <c r="ODV22" s="2"/>
      <c r="ODW22" s="2"/>
      <c r="ODX22" s="2"/>
      <c r="ODY22" s="2"/>
      <c r="ODZ22" s="2"/>
      <c r="OEA22" s="2"/>
      <c r="OEB22" s="2"/>
      <c r="OEC22" s="2"/>
      <c r="OED22" s="2"/>
      <c r="OEE22" s="2"/>
      <c r="OEF22" s="2"/>
      <c r="OEG22" s="2"/>
      <c r="OEH22" s="2"/>
      <c r="OEI22" s="2"/>
      <c r="OEJ22" s="2"/>
      <c r="OEK22" s="2"/>
      <c r="OEL22" s="2"/>
      <c r="OEM22" s="2"/>
      <c r="OEN22" s="2"/>
      <c r="OEO22" s="2"/>
      <c r="OEP22" s="2"/>
      <c r="OEQ22" s="2"/>
      <c r="OER22" s="2"/>
      <c r="OES22" s="2"/>
      <c r="OET22" s="2"/>
      <c r="OEU22" s="2"/>
      <c r="OEV22" s="2"/>
      <c r="OEW22" s="2"/>
      <c r="OEX22" s="2"/>
      <c r="OEY22" s="2"/>
      <c r="OEZ22" s="2"/>
      <c r="OFA22" s="2"/>
      <c r="OFB22" s="2"/>
      <c r="OFC22" s="2"/>
      <c r="OFD22" s="2"/>
      <c r="OFE22" s="2"/>
      <c r="OFF22" s="2"/>
      <c r="OFG22" s="2"/>
      <c r="OFH22" s="2"/>
      <c r="OFI22" s="2"/>
      <c r="OFJ22" s="2"/>
      <c r="OFK22" s="2"/>
      <c r="OFL22" s="2"/>
      <c r="OFM22" s="2"/>
      <c r="OFN22" s="2"/>
      <c r="OFO22" s="2"/>
      <c r="OFP22" s="2"/>
      <c r="OFQ22" s="2"/>
      <c r="OFR22" s="2"/>
      <c r="OFS22" s="2"/>
      <c r="OFT22" s="2"/>
      <c r="OFU22" s="2"/>
      <c r="OFV22" s="2"/>
      <c r="OFW22" s="2"/>
      <c r="OFX22" s="2"/>
      <c r="OFY22" s="2"/>
      <c r="OFZ22" s="2"/>
      <c r="OGA22" s="2"/>
      <c r="OGB22" s="2"/>
      <c r="OGC22" s="2"/>
      <c r="OGD22" s="2"/>
      <c r="OGE22" s="2"/>
      <c r="OGF22" s="2"/>
      <c r="OGG22" s="2"/>
      <c r="OGH22" s="2"/>
      <c r="OGI22" s="2"/>
      <c r="OGJ22" s="2"/>
      <c r="OGK22" s="2"/>
      <c r="OGL22" s="2"/>
      <c r="OGM22" s="2"/>
      <c r="OGN22" s="2"/>
      <c r="OGO22" s="2"/>
      <c r="OGP22" s="2"/>
      <c r="OGQ22" s="2"/>
      <c r="OGR22" s="2"/>
      <c r="OGS22" s="2"/>
      <c r="OGT22" s="2"/>
      <c r="OGU22" s="2"/>
      <c r="OGV22" s="2"/>
      <c r="OGW22" s="2"/>
      <c r="OGX22" s="2"/>
      <c r="OGY22" s="2"/>
      <c r="OGZ22" s="2"/>
      <c r="OHA22" s="2"/>
      <c r="OHB22" s="2"/>
      <c r="OHC22" s="2"/>
      <c r="OHD22" s="2"/>
      <c r="OHE22" s="2"/>
      <c r="OHF22" s="2"/>
      <c r="OHG22" s="2"/>
      <c r="OHH22" s="2"/>
      <c r="OHI22" s="2"/>
      <c r="OHJ22" s="2"/>
      <c r="OHK22" s="2"/>
      <c r="OHL22" s="2"/>
      <c r="OHM22" s="2"/>
      <c r="OHN22" s="2"/>
      <c r="OHO22" s="2"/>
      <c r="OHP22" s="2"/>
      <c r="OHQ22" s="2"/>
      <c r="OHR22" s="2"/>
      <c r="OHS22" s="2"/>
      <c r="OHT22" s="2"/>
      <c r="OHU22" s="2"/>
      <c r="OHV22" s="2"/>
      <c r="OHW22" s="2"/>
      <c r="OHX22" s="2"/>
      <c r="OHY22" s="2"/>
      <c r="OHZ22" s="2"/>
      <c r="OIA22" s="2"/>
      <c r="OIB22" s="2"/>
      <c r="OIC22" s="2"/>
      <c r="OID22" s="2"/>
      <c r="OIE22" s="2"/>
      <c r="OIF22" s="2"/>
      <c r="OIG22" s="2"/>
      <c r="OIH22" s="2"/>
      <c r="OII22" s="2"/>
      <c r="OIJ22" s="2"/>
      <c r="OIK22" s="2"/>
      <c r="OIL22" s="2"/>
      <c r="OIM22" s="2"/>
      <c r="OIN22" s="2"/>
      <c r="OIO22" s="2"/>
      <c r="OIP22" s="2"/>
      <c r="OIQ22" s="2"/>
      <c r="OIR22" s="2"/>
      <c r="OIS22" s="2"/>
      <c r="OIT22" s="2"/>
      <c r="OIU22" s="2"/>
      <c r="OIV22" s="2"/>
      <c r="OIW22" s="2"/>
      <c r="OIX22" s="2"/>
      <c r="OIY22" s="2"/>
      <c r="OIZ22" s="2"/>
      <c r="OJA22" s="2"/>
      <c r="OJB22" s="2"/>
      <c r="OJC22" s="2"/>
      <c r="OJD22" s="2"/>
      <c r="OJE22" s="2"/>
      <c r="OJF22" s="2"/>
      <c r="OJG22" s="2"/>
      <c r="OJH22" s="2"/>
      <c r="OJI22" s="2"/>
      <c r="OJJ22" s="2"/>
      <c r="OJK22" s="2"/>
      <c r="OJL22" s="2"/>
      <c r="OJM22" s="2"/>
      <c r="OJN22" s="2"/>
      <c r="OJO22" s="2"/>
      <c r="OJP22" s="2"/>
      <c r="OJQ22" s="2"/>
      <c r="OJR22" s="2"/>
      <c r="OJS22" s="2"/>
      <c r="OJT22" s="2"/>
      <c r="OJU22" s="2"/>
      <c r="OJV22" s="2"/>
      <c r="OJW22" s="2"/>
      <c r="OJX22" s="2"/>
      <c r="OJY22" s="2"/>
      <c r="OJZ22" s="2"/>
      <c r="OKA22" s="2"/>
      <c r="OKB22" s="2"/>
      <c r="OKC22" s="2"/>
      <c r="OKD22" s="2"/>
      <c r="OKE22" s="2"/>
      <c r="OKF22" s="2"/>
      <c r="OKG22" s="2"/>
      <c r="OKH22" s="2"/>
      <c r="OKI22" s="2"/>
      <c r="OKJ22" s="2"/>
      <c r="OKK22" s="2"/>
      <c r="OKL22" s="2"/>
      <c r="OKM22" s="2"/>
      <c r="OKN22" s="2"/>
      <c r="OKO22" s="2"/>
      <c r="OKP22" s="2"/>
      <c r="OKQ22" s="2"/>
      <c r="OKR22" s="2"/>
      <c r="OKS22" s="2"/>
      <c r="OKT22" s="2"/>
      <c r="OKU22" s="2"/>
      <c r="OKV22" s="2"/>
      <c r="OKW22" s="2"/>
      <c r="OKX22" s="2"/>
      <c r="OKY22" s="2"/>
      <c r="OKZ22" s="2"/>
      <c r="OLA22" s="2"/>
      <c r="OLB22" s="2"/>
      <c r="OLC22" s="2"/>
      <c r="OLD22" s="2"/>
      <c r="OLE22" s="2"/>
      <c r="OLF22" s="2"/>
      <c r="OLG22" s="2"/>
      <c r="OLH22" s="2"/>
      <c r="OLI22" s="2"/>
      <c r="OLJ22" s="2"/>
      <c r="OLK22" s="2"/>
      <c r="OLL22" s="2"/>
      <c r="OLM22" s="2"/>
      <c r="OLN22" s="2"/>
      <c r="OLO22" s="2"/>
      <c r="OLP22" s="2"/>
      <c r="OLQ22" s="2"/>
      <c r="OLR22" s="2"/>
      <c r="OLS22" s="2"/>
      <c r="OLT22" s="2"/>
      <c r="OLU22" s="2"/>
      <c r="OLV22" s="2"/>
      <c r="OLW22" s="2"/>
      <c r="OLX22" s="2"/>
      <c r="OLY22" s="2"/>
      <c r="OLZ22" s="2"/>
      <c r="OMA22" s="2"/>
      <c r="OMB22" s="2"/>
      <c r="OMC22" s="2"/>
      <c r="OMD22" s="2"/>
      <c r="OME22" s="2"/>
      <c r="OMF22" s="2"/>
      <c r="OMG22" s="2"/>
      <c r="OMH22" s="2"/>
      <c r="OMI22" s="2"/>
      <c r="OMJ22" s="2"/>
      <c r="OMK22" s="2"/>
      <c r="OML22" s="2"/>
      <c r="OMM22" s="2"/>
      <c r="OMN22" s="2"/>
      <c r="OMO22" s="2"/>
      <c r="OMP22" s="2"/>
      <c r="OMQ22" s="2"/>
      <c r="OMR22" s="2"/>
      <c r="OMS22" s="2"/>
      <c r="OMT22" s="2"/>
      <c r="OMU22" s="2"/>
      <c r="OMV22" s="2"/>
      <c r="OMW22" s="2"/>
      <c r="OMX22" s="2"/>
      <c r="OMY22" s="2"/>
      <c r="OMZ22" s="2"/>
      <c r="ONA22" s="2"/>
      <c r="ONB22" s="2"/>
      <c r="ONC22" s="2"/>
      <c r="OND22" s="2"/>
      <c r="ONE22" s="2"/>
      <c r="ONF22" s="2"/>
      <c r="ONG22" s="2"/>
      <c r="ONH22" s="2"/>
      <c r="ONI22" s="2"/>
      <c r="ONJ22" s="2"/>
      <c r="ONK22" s="2"/>
      <c r="ONL22" s="2"/>
      <c r="ONM22" s="2"/>
      <c r="ONN22" s="2"/>
      <c r="ONO22" s="2"/>
      <c r="ONP22" s="2"/>
      <c r="ONQ22" s="2"/>
      <c r="ONR22" s="2"/>
      <c r="ONS22" s="2"/>
      <c r="ONT22" s="2"/>
      <c r="ONU22" s="2"/>
      <c r="ONV22" s="2"/>
      <c r="ONW22" s="2"/>
      <c r="ONX22" s="2"/>
      <c r="ONY22" s="2"/>
      <c r="ONZ22" s="2"/>
      <c r="OOA22" s="2"/>
      <c r="OOB22" s="2"/>
      <c r="OOC22" s="2"/>
      <c r="OOD22" s="2"/>
      <c r="OOE22" s="2"/>
      <c r="OOF22" s="2"/>
      <c r="OOG22" s="2"/>
      <c r="OOH22" s="2"/>
      <c r="OOI22" s="2"/>
      <c r="OOJ22" s="2"/>
      <c r="OOK22" s="2"/>
      <c r="OOL22" s="2"/>
      <c r="OOM22" s="2"/>
      <c r="OON22" s="2"/>
      <c r="OOO22" s="2"/>
      <c r="OOP22" s="2"/>
      <c r="OOQ22" s="2"/>
      <c r="OOR22" s="2"/>
      <c r="OOS22" s="2"/>
      <c r="OOT22" s="2"/>
      <c r="OOU22" s="2"/>
      <c r="OOV22" s="2"/>
      <c r="OOW22" s="2"/>
      <c r="OOX22" s="2"/>
      <c r="OOY22" s="2"/>
      <c r="OOZ22" s="2"/>
      <c r="OPA22" s="2"/>
      <c r="OPB22" s="2"/>
      <c r="OPC22" s="2"/>
      <c r="OPD22" s="2"/>
      <c r="OPE22" s="2"/>
      <c r="OPF22" s="2"/>
      <c r="OPG22" s="2"/>
      <c r="OPH22" s="2"/>
      <c r="OPI22" s="2"/>
      <c r="OPJ22" s="2"/>
      <c r="OPK22" s="2"/>
      <c r="OPL22" s="2"/>
      <c r="OPM22" s="2"/>
      <c r="OPN22" s="2"/>
      <c r="OPO22" s="2"/>
      <c r="OPP22" s="2"/>
      <c r="OPQ22" s="2"/>
      <c r="OPR22" s="2"/>
      <c r="OPS22" s="2"/>
      <c r="OPT22" s="2"/>
      <c r="OPU22" s="2"/>
      <c r="OPV22" s="2"/>
      <c r="OPW22" s="2"/>
      <c r="OPX22" s="2"/>
      <c r="OPY22" s="2"/>
      <c r="OPZ22" s="2"/>
      <c r="OQA22" s="2"/>
      <c r="OQB22" s="2"/>
      <c r="OQC22" s="2"/>
      <c r="OQD22" s="2"/>
      <c r="OQE22" s="2"/>
      <c r="OQF22" s="2"/>
      <c r="OQG22" s="2"/>
      <c r="OQH22" s="2"/>
      <c r="OQI22" s="2"/>
      <c r="OQJ22" s="2"/>
      <c r="OQK22" s="2"/>
      <c r="OQL22" s="2"/>
      <c r="OQM22" s="2"/>
      <c r="OQN22" s="2"/>
      <c r="OQO22" s="2"/>
      <c r="OQP22" s="2"/>
      <c r="OQQ22" s="2"/>
      <c r="OQR22" s="2"/>
      <c r="OQS22" s="2"/>
      <c r="OQT22" s="2"/>
      <c r="OQU22" s="2"/>
      <c r="OQV22" s="2"/>
      <c r="OQW22" s="2"/>
      <c r="OQX22" s="2"/>
      <c r="OQY22" s="2"/>
      <c r="OQZ22" s="2"/>
      <c r="ORA22" s="2"/>
      <c r="ORB22" s="2"/>
      <c r="ORC22" s="2"/>
      <c r="ORD22" s="2"/>
      <c r="ORE22" s="2"/>
      <c r="ORF22" s="2"/>
      <c r="ORG22" s="2"/>
      <c r="ORH22" s="2"/>
      <c r="ORI22" s="2"/>
      <c r="ORJ22" s="2"/>
      <c r="ORK22" s="2"/>
      <c r="ORL22" s="2"/>
      <c r="ORM22" s="2"/>
      <c r="ORN22" s="2"/>
      <c r="ORO22" s="2"/>
      <c r="ORP22" s="2"/>
      <c r="ORQ22" s="2"/>
      <c r="ORR22" s="2"/>
      <c r="ORS22" s="2"/>
      <c r="ORT22" s="2"/>
      <c r="ORU22" s="2"/>
      <c r="ORV22" s="2"/>
      <c r="ORW22" s="2"/>
      <c r="ORX22" s="2"/>
      <c r="ORY22" s="2"/>
      <c r="ORZ22" s="2"/>
      <c r="OSA22" s="2"/>
      <c r="OSB22" s="2"/>
      <c r="OSC22" s="2"/>
      <c r="OSD22" s="2"/>
      <c r="OSE22" s="2"/>
      <c r="OSF22" s="2"/>
      <c r="OSG22" s="2"/>
      <c r="OSH22" s="2"/>
      <c r="OSI22" s="2"/>
      <c r="OSJ22" s="2"/>
      <c r="OSK22" s="2"/>
      <c r="OSL22" s="2"/>
      <c r="OSM22" s="2"/>
      <c r="OSN22" s="2"/>
      <c r="OSO22" s="2"/>
      <c r="OSP22" s="2"/>
      <c r="OSQ22" s="2"/>
      <c r="OSR22" s="2"/>
      <c r="OSS22" s="2"/>
      <c r="OST22" s="2"/>
      <c r="OSU22" s="2"/>
      <c r="OSV22" s="2"/>
      <c r="OSW22" s="2"/>
      <c r="OSX22" s="2"/>
      <c r="OSY22" s="2"/>
      <c r="OSZ22" s="2"/>
      <c r="OTA22" s="2"/>
      <c r="OTB22" s="2"/>
      <c r="OTC22" s="2"/>
      <c r="OTD22" s="2"/>
      <c r="OTE22" s="2"/>
      <c r="OTF22" s="2"/>
      <c r="OTG22" s="2"/>
      <c r="OTH22" s="2"/>
      <c r="OTI22" s="2"/>
      <c r="OTJ22" s="2"/>
      <c r="OTK22" s="2"/>
      <c r="OTL22" s="2"/>
      <c r="OTM22" s="2"/>
      <c r="OTN22" s="2"/>
      <c r="OTO22" s="2"/>
      <c r="OTP22" s="2"/>
      <c r="OTQ22" s="2"/>
      <c r="OTR22" s="2"/>
      <c r="OTS22" s="2"/>
      <c r="OTT22" s="2"/>
      <c r="OTU22" s="2"/>
      <c r="OTV22" s="2"/>
      <c r="OTW22" s="2"/>
      <c r="OTX22" s="2"/>
      <c r="OTY22" s="2"/>
      <c r="OTZ22" s="2"/>
      <c r="OUA22" s="2"/>
      <c r="OUB22" s="2"/>
      <c r="OUC22" s="2"/>
      <c r="OUD22" s="2"/>
      <c r="OUE22" s="2"/>
      <c r="OUF22" s="2"/>
      <c r="OUG22" s="2"/>
      <c r="OUH22" s="2"/>
      <c r="OUI22" s="2"/>
      <c r="OUJ22" s="2"/>
      <c r="OUK22" s="2"/>
      <c r="OUL22" s="2"/>
      <c r="OUM22" s="2"/>
      <c r="OUN22" s="2"/>
      <c r="OUO22" s="2"/>
      <c r="OUP22" s="2"/>
      <c r="OUQ22" s="2"/>
      <c r="OUR22" s="2"/>
      <c r="OUS22" s="2"/>
      <c r="OUT22" s="2"/>
      <c r="OUU22" s="2"/>
      <c r="OUV22" s="2"/>
      <c r="OUW22" s="2"/>
      <c r="OUX22" s="2"/>
      <c r="OUY22" s="2"/>
      <c r="OUZ22" s="2"/>
      <c r="OVA22" s="2"/>
      <c r="OVB22" s="2"/>
      <c r="OVC22" s="2"/>
      <c r="OVD22" s="2"/>
      <c r="OVE22" s="2"/>
      <c r="OVF22" s="2"/>
      <c r="OVG22" s="2"/>
      <c r="OVH22" s="2"/>
      <c r="OVI22" s="2"/>
      <c r="OVJ22" s="2"/>
      <c r="OVK22" s="2"/>
      <c r="OVL22" s="2"/>
      <c r="OVM22" s="2"/>
      <c r="OVN22" s="2"/>
      <c r="OVO22" s="2"/>
      <c r="OVP22" s="2"/>
      <c r="OVQ22" s="2"/>
      <c r="OVR22" s="2"/>
      <c r="OVS22" s="2"/>
      <c r="OVT22" s="2"/>
      <c r="OVU22" s="2"/>
      <c r="OVV22" s="2"/>
      <c r="OVW22" s="2"/>
      <c r="OVX22" s="2"/>
      <c r="OVY22" s="2"/>
      <c r="OVZ22" s="2"/>
      <c r="OWA22" s="2"/>
      <c r="OWB22" s="2"/>
      <c r="OWC22" s="2"/>
      <c r="OWD22" s="2"/>
      <c r="OWE22" s="2"/>
      <c r="OWF22" s="2"/>
      <c r="OWG22" s="2"/>
      <c r="OWH22" s="2"/>
      <c r="OWI22" s="2"/>
      <c r="OWJ22" s="2"/>
      <c r="OWK22" s="2"/>
      <c r="OWL22" s="2"/>
      <c r="OWM22" s="2"/>
      <c r="OWN22" s="2"/>
      <c r="OWO22" s="2"/>
      <c r="OWP22" s="2"/>
      <c r="OWQ22" s="2"/>
      <c r="OWR22" s="2"/>
      <c r="OWS22" s="2"/>
      <c r="OWT22" s="2"/>
      <c r="OWU22" s="2"/>
      <c r="OWV22" s="2"/>
      <c r="OWW22" s="2"/>
      <c r="OWX22" s="2"/>
      <c r="OWY22" s="2"/>
      <c r="OWZ22" s="2"/>
      <c r="OXA22" s="2"/>
      <c r="OXB22" s="2"/>
      <c r="OXC22" s="2"/>
      <c r="OXD22" s="2"/>
      <c r="OXE22" s="2"/>
      <c r="OXF22" s="2"/>
      <c r="OXG22" s="2"/>
      <c r="OXH22" s="2"/>
      <c r="OXI22" s="2"/>
      <c r="OXJ22" s="2"/>
      <c r="OXK22" s="2"/>
      <c r="OXL22" s="2"/>
      <c r="OXM22" s="2"/>
      <c r="OXN22" s="2"/>
      <c r="OXO22" s="2"/>
      <c r="OXP22" s="2"/>
      <c r="OXQ22" s="2"/>
      <c r="OXR22" s="2"/>
      <c r="OXS22" s="2"/>
      <c r="OXT22" s="2"/>
      <c r="OXU22" s="2"/>
      <c r="OXV22" s="2"/>
      <c r="OXW22" s="2"/>
      <c r="OXX22" s="2"/>
      <c r="OXY22" s="2"/>
      <c r="OXZ22" s="2"/>
      <c r="OYA22" s="2"/>
      <c r="OYB22" s="2"/>
      <c r="OYC22" s="2"/>
      <c r="OYD22" s="2"/>
      <c r="OYE22" s="2"/>
      <c r="OYF22" s="2"/>
      <c r="OYG22" s="2"/>
      <c r="OYH22" s="2"/>
      <c r="OYI22" s="2"/>
      <c r="OYJ22" s="2"/>
      <c r="OYK22" s="2"/>
      <c r="OYL22" s="2"/>
      <c r="OYM22" s="2"/>
      <c r="OYN22" s="2"/>
      <c r="OYO22" s="2"/>
      <c r="OYP22" s="2"/>
      <c r="OYQ22" s="2"/>
      <c r="OYR22" s="2"/>
      <c r="OYS22" s="2"/>
      <c r="OYT22" s="2"/>
      <c r="OYU22" s="2"/>
      <c r="OYV22" s="2"/>
      <c r="OYW22" s="2"/>
      <c r="OYX22" s="2"/>
      <c r="OYY22" s="2"/>
      <c r="OYZ22" s="2"/>
      <c r="OZA22" s="2"/>
      <c r="OZB22" s="2"/>
      <c r="OZC22" s="2"/>
      <c r="OZD22" s="2"/>
      <c r="OZE22" s="2"/>
      <c r="OZF22" s="2"/>
      <c r="OZG22" s="2"/>
      <c r="OZH22" s="2"/>
      <c r="OZI22" s="2"/>
      <c r="OZJ22" s="2"/>
      <c r="OZK22" s="2"/>
      <c r="OZL22" s="2"/>
      <c r="OZM22" s="2"/>
      <c r="OZN22" s="2"/>
      <c r="OZO22" s="2"/>
      <c r="OZP22" s="2"/>
      <c r="OZQ22" s="2"/>
      <c r="OZR22" s="2"/>
      <c r="OZS22" s="2"/>
      <c r="OZT22" s="2"/>
      <c r="OZU22" s="2"/>
      <c r="OZV22" s="2"/>
      <c r="OZW22" s="2"/>
      <c r="OZX22" s="2"/>
      <c r="OZY22" s="2"/>
      <c r="OZZ22" s="2"/>
      <c r="PAA22" s="2"/>
      <c r="PAB22" s="2"/>
      <c r="PAC22" s="2"/>
      <c r="PAD22" s="2"/>
      <c r="PAE22" s="2"/>
      <c r="PAF22" s="2"/>
      <c r="PAG22" s="2"/>
      <c r="PAH22" s="2"/>
      <c r="PAI22" s="2"/>
      <c r="PAJ22" s="2"/>
      <c r="PAK22" s="2"/>
      <c r="PAL22" s="2"/>
      <c r="PAM22" s="2"/>
      <c r="PAN22" s="2"/>
      <c r="PAO22" s="2"/>
      <c r="PAP22" s="2"/>
      <c r="PAQ22" s="2"/>
      <c r="PAR22" s="2"/>
      <c r="PAS22" s="2"/>
      <c r="PAT22" s="2"/>
      <c r="PAU22" s="2"/>
      <c r="PAV22" s="2"/>
      <c r="PAW22" s="2"/>
      <c r="PAX22" s="2"/>
      <c r="PAY22" s="2"/>
      <c r="PAZ22" s="2"/>
      <c r="PBA22" s="2"/>
      <c r="PBB22" s="2"/>
      <c r="PBC22" s="2"/>
      <c r="PBD22" s="2"/>
      <c r="PBE22" s="2"/>
      <c r="PBF22" s="2"/>
      <c r="PBG22" s="2"/>
      <c r="PBH22" s="2"/>
      <c r="PBI22" s="2"/>
      <c r="PBJ22" s="2"/>
      <c r="PBK22" s="2"/>
      <c r="PBL22" s="2"/>
      <c r="PBM22" s="2"/>
      <c r="PBN22" s="2"/>
      <c r="PBO22" s="2"/>
      <c r="PBP22" s="2"/>
      <c r="PBQ22" s="2"/>
      <c r="PBR22" s="2"/>
      <c r="PBS22" s="2"/>
      <c r="PBT22" s="2"/>
      <c r="PBU22" s="2"/>
      <c r="PBV22" s="2"/>
      <c r="PBW22" s="2"/>
      <c r="PBX22" s="2"/>
      <c r="PBY22" s="2"/>
      <c r="PBZ22" s="2"/>
      <c r="PCA22" s="2"/>
      <c r="PCB22" s="2"/>
      <c r="PCC22" s="2"/>
      <c r="PCD22" s="2"/>
      <c r="PCE22" s="2"/>
      <c r="PCF22" s="2"/>
      <c r="PCG22" s="2"/>
      <c r="PCH22" s="2"/>
      <c r="PCI22" s="2"/>
      <c r="PCJ22" s="2"/>
      <c r="PCK22" s="2"/>
      <c r="PCL22" s="2"/>
      <c r="PCM22" s="2"/>
      <c r="PCN22" s="2"/>
      <c r="PCO22" s="2"/>
      <c r="PCP22" s="2"/>
      <c r="PCQ22" s="2"/>
      <c r="PCR22" s="2"/>
      <c r="PCS22" s="2"/>
      <c r="PCT22" s="2"/>
      <c r="PCU22" s="2"/>
      <c r="PCV22" s="2"/>
      <c r="PCW22" s="2"/>
      <c r="PCX22" s="2"/>
      <c r="PCY22" s="2"/>
      <c r="PCZ22" s="2"/>
      <c r="PDA22" s="2"/>
      <c r="PDB22" s="2"/>
      <c r="PDC22" s="2"/>
      <c r="PDD22" s="2"/>
      <c r="PDE22" s="2"/>
      <c r="PDF22" s="2"/>
      <c r="PDG22" s="2"/>
      <c r="PDH22" s="2"/>
      <c r="PDI22" s="2"/>
      <c r="PDJ22" s="2"/>
      <c r="PDK22" s="2"/>
      <c r="PDL22" s="2"/>
      <c r="PDM22" s="2"/>
      <c r="PDN22" s="2"/>
      <c r="PDO22" s="2"/>
      <c r="PDP22" s="2"/>
      <c r="PDQ22" s="2"/>
      <c r="PDR22" s="2"/>
      <c r="PDS22" s="2"/>
      <c r="PDT22" s="2"/>
      <c r="PDU22" s="2"/>
      <c r="PDV22" s="2"/>
      <c r="PDW22" s="2"/>
      <c r="PDX22" s="2"/>
      <c r="PDY22" s="2"/>
      <c r="PDZ22" s="2"/>
      <c r="PEA22" s="2"/>
      <c r="PEB22" s="2"/>
      <c r="PEC22" s="2"/>
      <c r="PED22" s="2"/>
      <c r="PEE22" s="2"/>
      <c r="PEF22" s="2"/>
      <c r="PEG22" s="2"/>
      <c r="PEH22" s="2"/>
      <c r="PEI22" s="2"/>
      <c r="PEJ22" s="2"/>
      <c r="PEK22" s="2"/>
      <c r="PEL22" s="2"/>
      <c r="PEM22" s="2"/>
      <c r="PEN22" s="2"/>
      <c r="PEO22" s="2"/>
      <c r="PEP22" s="2"/>
      <c r="PEQ22" s="2"/>
      <c r="PER22" s="2"/>
      <c r="PES22" s="2"/>
      <c r="PET22" s="2"/>
      <c r="PEU22" s="2"/>
      <c r="PEV22" s="2"/>
      <c r="PEW22" s="2"/>
      <c r="PEX22" s="2"/>
      <c r="PEY22" s="2"/>
      <c r="PEZ22" s="2"/>
      <c r="PFA22" s="2"/>
      <c r="PFB22" s="2"/>
      <c r="PFC22" s="2"/>
      <c r="PFD22" s="2"/>
      <c r="PFE22" s="2"/>
      <c r="PFF22" s="2"/>
      <c r="PFG22" s="2"/>
      <c r="PFH22" s="2"/>
      <c r="PFI22" s="2"/>
      <c r="PFJ22" s="2"/>
      <c r="PFK22" s="2"/>
      <c r="PFL22" s="2"/>
      <c r="PFM22" s="2"/>
      <c r="PFN22" s="2"/>
      <c r="PFO22" s="2"/>
      <c r="PFP22" s="2"/>
      <c r="PFQ22" s="2"/>
      <c r="PFR22" s="2"/>
      <c r="PFS22" s="2"/>
      <c r="PFT22" s="2"/>
      <c r="PFU22" s="2"/>
      <c r="PFV22" s="2"/>
      <c r="PFW22" s="2"/>
      <c r="PFX22" s="2"/>
      <c r="PFY22" s="2"/>
      <c r="PFZ22" s="2"/>
      <c r="PGA22" s="2"/>
      <c r="PGB22" s="2"/>
      <c r="PGC22" s="2"/>
      <c r="PGD22" s="2"/>
      <c r="PGE22" s="2"/>
      <c r="PGF22" s="2"/>
      <c r="PGG22" s="2"/>
      <c r="PGH22" s="2"/>
      <c r="PGI22" s="2"/>
      <c r="PGJ22" s="2"/>
      <c r="PGK22" s="2"/>
      <c r="PGL22" s="2"/>
      <c r="PGM22" s="2"/>
      <c r="PGN22" s="2"/>
      <c r="PGO22" s="2"/>
      <c r="PGP22" s="2"/>
      <c r="PGQ22" s="2"/>
      <c r="PGR22" s="2"/>
      <c r="PGS22" s="2"/>
      <c r="PGT22" s="2"/>
      <c r="PGU22" s="2"/>
      <c r="PGV22" s="2"/>
      <c r="PGW22" s="2"/>
      <c r="PGX22" s="2"/>
      <c r="PGY22" s="2"/>
      <c r="PGZ22" s="2"/>
      <c r="PHA22" s="2"/>
      <c r="PHB22" s="2"/>
      <c r="PHC22" s="2"/>
      <c r="PHD22" s="2"/>
      <c r="PHE22" s="2"/>
      <c r="PHF22" s="2"/>
      <c r="PHG22" s="2"/>
      <c r="PHH22" s="2"/>
      <c r="PHI22" s="2"/>
      <c r="PHJ22" s="2"/>
      <c r="PHK22" s="2"/>
      <c r="PHL22" s="2"/>
      <c r="PHM22" s="2"/>
      <c r="PHN22" s="2"/>
      <c r="PHO22" s="2"/>
      <c r="PHP22" s="2"/>
      <c r="PHQ22" s="2"/>
      <c r="PHR22" s="2"/>
      <c r="PHS22" s="2"/>
      <c r="PHT22" s="2"/>
      <c r="PHU22" s="2"/>
      <c r="PHV22" s="2"/>
      <c r="PHW22" s="2"/>
      <c r="PHX22" s="2"/>
      <c r="PHY22" s="2"/>
      <c r="PHZ22" s="2"/>
      <c r="PIA22" s="2"/>
      <c r="PIB22" s="2"/>
      <c r="PIC22" s="2"/>
      <c r="PID22" s="2"/>
      <c r="PIE22" s="2"/>
      <c r="PIF22" s="2"/>
      <c r="PIG22" s="2"/>
      <c r="PIH22" s="2"/>
      <c r="PII22" s="2"/>
      <c r="PIJ22" s="2"/>
      <c r="PIK22" s="2"/>
      <c r="PIL22" s="2"/>
      <c r="PIM22" s="2"/>
      <c r="PIN22" s="2"/>
      <c r="PIO22" s="2"/>
      <c r="PIP22" s="2"/>
      <c r="PIQ22" s="2"/>
      <c r="PIR22" s="2"/>
      <c r="PIS22" s="2"/>
      <c r="PIT22" s="2"/>
      <c r="PIU22" s="2"/>
      <c r="PIV22" s="2"/>
      <c r="PIW22" s="2"/>
      <c r="PIX22" s="2"/>
      <c r="PIY22" s="2"/>
      <c r="PIZ22" s="2"/>
      <c r="PJA22" s="2"/>
      <c r="PJB22" s="2"/>
      <c r="PJC22" s="2"/>
      <c r="PJD22" s="2"/>
      <c r="PJE22" s="2"/>
      <c r="PJF22" s="2"/>
      <c r="PJG22" s="2"/>
      <c r="PJH22" s="2"/>
      <c r="PJI22" s="2"/>
      <c r="PJJ22" s="2"/>
      <c r="PJK22" s="2"/>
      <c r="PJL22" s="2"/>
      <c r="PJM22" s="2"/>
      <c r="PJN22" s="2"/>
      <c r="PJO22" s="2"/>
      <c r="PJP22" s="2"/>
      <c r="PJQ22" s="2"/>
      <c r="PJR22" s="2"/>
      <c r="PJS22" s="2"/>
      <c r="PJT22" s="2"/>
      <c r="PJU22" s="2"/>
      <c r="PJV22" s="2"/>
      <c r="PJW22" s="2"/>
      <c r="PJX22" s="2"/>
      <c r="PJY22" s="2"/>
      <c r="PJZ22" s="2"/>
      <c r="PKA22" s="2"/>
      <c r="PKB22" s="2"/>
      <c r="PKC22" s="2"/>
      <c r="PKD22" s="2"/>
      <c r="PKE22" s="2"/>
      <c r="PKF22" s="2"/>
      <c r="PKG22" s="2"/>
      <c r="PKH22" s="2"/>
      <c r="PKI22" s="2"/>
      <c r="PKJ22" s="2"/>
      <c r="PKK22" s="2"/>
      <c r="PKL22" s="2"/>
      <c r="PKM22" s="2"/>
      <c r="PKN22" s="2"/>
      <c r="PKO22" s="2"/>
      <c r="PKP22" s="2"/>
      <c r="PKQ22" s="2"/>
      <c r="PKR22" s="2"/>
      <c r="PKS22" s="2"/>
      <c r="PKT22" s="2"/>
      <c r="PKU22" s="2"/>
      <c r="PKV22" s="2"/>
      <c r="PKW22" s="2"/>
      <c r="PKX22" s="2"/>
      <c r="PKY22" s="2"/>
      <c r="PKZ22" s="2"/>
      <c r="PLA22" s="2"/>
      <c r="PLB22" s="2"/>
      <c r="PLC22" s="2"/>
      <c r="PLD22" s="2"/>
      <c r="PLE22" s="2"/>
      <c r="PLF22" s="2"/>
      <c r="PLG22" s="2"/>
      <c r="PLH22" s="2"/>
      <c r="PLI22" s="2"/>
      <c r="PLJ22" s="2"/>
      <c r="PLK22" s="2"/>
      <c r="PLL22" s="2"/>
      <c r="PLM22" s="2"/>
      <c r="PLN22" s="2"/>
      <c r="PLO22" s="2"/>
      <c r="PLP22" s="2"/>
      <c r="PLQ22" s="2"/>
      <c r="PLR22" s="2"/>
      <c r="PLS22" s="2"/>
      <c r="PLT22" s="2"/>
      <c r="PLU22" s="2"/>
      <c r="PLV22" s="2"/>
      <c r="PLW22" s="2"/>
      <c r="PLX22" s="2"/>
      <c r="PLY22" s="2"/>
      <c r="PLZ22" s="2"/>
      <c r="PMA22" s="2"/>
      <c r="PMB22" s="2"/>
      <c r="PMC22" s="2"/>
      <c r="PMD22" s="2"/>
      <c r="PME22" s="2"/>
      <c r="PMF22" s="2"/>
      <c r="PMG22" s="2"/>
      <c r="PMH22" s="2"/>
      <c r="PMI22" s="2"/>
      <c r="PMJ22" s="2"/>
      <c r="PMK22" s="2"/>
      <c r="PML22" s="2"/>
      <c r="PMM22" s="2"/>
      <c r="PMN22" s="2"/>
      <c r="PMO22" s="2"/>
      <c r="PMP22" s="2"/>
      <c r="PMQ22" s="2"/>
      <c r="PMR22" s="2"/>
      <c r="PMS22" s="2"/>
      <c r="PMT22" s="2"/>
      <c r="PMU22" s="2"/>
      <c r="PMV22" s="2"/>
      <c r="PMW22" s="2"/>
      <c r="PMX22" s="2"/>
      <c r="PMY22" s="2"/>
      <c r="PMZ22" s="2"/>
      <c r="PNA22" s="2"/>
      <c r="PNB22" s="2"/>
      <c r="PNC22" s="2"/>
      <c r="PND22" s="2"/>
      <c r="PNE22" s="2"/>
      <c r="PNF22" s="2"/>
      <c r="PNG22" s="2"/>
      <c r="PNH22" s="2"/>
      <c r="PNI22" s="2"/>
      <c r="PNJ22" s="2"/>
      <c r="PNK22" s="2"/>
      <c r="PNL22" s="2"/>
      <c r="PNM22" s="2"/>
      <c r="PNN22" s="2"/>
      <c r="PNO22" s="2"/>
      <c r="PNP22" s="2"/>
      <c r="PNQ22" s="2"/>
      <c r="PNR22" s="2"/>
      <c r="PNS22" s="2"/>
      <c r="PNT22" s="2"/>
      <c r="PNU22" s="2"/>
      <c r="PNV22" s="2"/>
      <c r="PNW22" s="2"/>
      <c r="PNX22" s="2"/>
      <c r="PNY22" s="2"/>
      <c r="PNZ22" s="2"/>
      <c r="POA22" s="2"/>
      <c r="POB22" s="2"/>
      <c r="POC22" s="2"/>
      <c r="POD22" s="2"/>
      <c r="POE22" s="2"/>
      <c r="POF22" s="2"/>
      <c r="POG22" s="2"/>
      <c r="POH22" s="2"/>
      <c r="POI22" s="2"/>
      <c r="POJ22" s="2"/>
      <c r="POK22" s="2"/>
      <c r="POL22" s="2"/>
      <c r="POM22" s="2"/>
      <c r="PON22" s="2"/>
      <c r="POO22" s="2"/>
      <c r="POP22" s="2"/>
      <c r="POQ22" s="2"/>
      <c r="POR22" s="2"/>
      <c r="POS22" s="2"/>
      <c r="POT22" s="2"/>
      <c r="POU22" s="2"/>
      <c r="POV22" s="2"/>
      <c r="POW22" s="2"/>
      <c r="POX22" s="2"/>
      <c r="POY22" s="2"/>
      <c r="POZ22" s="2"/>
      <c r="PPA22" s="2"/>
      <c r="PPB22" s="2"/>
      <c r="PPC22" s="2"/>
      <c r="PPD22" s="2"/>
      <c r="PPE22" s="2"/>
      <c r="PPF22" s="2"/>
      <c r="PPG22" s="2"/>
      <c r="PPH22" s="2"/>
      <c r="PPI22" s="2"/>
      <c r="PPJ22" s="2"/>
      <c r="PPK22" s="2"/>
      <c r="PPL22" s="2"/>
      <c r="PPM22" s="2"/>
      <c r="PPN22" s="2"/>
      <c r="PPO22" s="2"/>
      <c r="PPP22" s="2"/>
      <c r="PPQ22" s="2"/>
      <c r="PPR22" s="2"/>
      <c r="PPS22" s="2"/>
      <c r="PPT22" s="2"/>
      <c r="PPU22" s="2"/>
      <c r="PPV22" s="2"/>
      <c r="PPW22" s="2"/>
      <c r="PPX22" s="2"/>
      <c r="PPY22" s="2"/>
      <c r="PPZ22" s="2"/>
      <c r="PQA22" s="2"/>
      <c r="PQB22" s="2"/>
      <c r="PQC22" s="2"/>
      <c r="PQD22" s="2"/>
      <c r="PQE22" s="2"/>
      <c r="PQF22" s="2"/>
      <c r="PQG22" s="2"/>
      <c r="PQH22" s="2"/>
      <c r="PQI22" s="2"/>
      <c r="PQJ22" s="2"/>
      <c r="PQK22" s="2"/>
      <c r="PQL22" s="2"/>
      <c r="PQM22" s="2"/>
      <c r="PQN22" s="2"/>
      <c r="PQO22" s="2"/>
      <c r="PQP22" s="2"/>
      <c r="PQQ22" s="2"/>
      <c r="PQR22" s="2"/>
      <c r="PQS22" s="2"/>
      <c r="PQT22" s="2"/>
      <c r="PQU22" s="2"/>
      <c r="PQV22" s="2"/>
      <c r="PQW22" s="2"/>
      <c r="PQX22" s="2"/>
      <c r="PQY22" s="2"/>
      <c r="PQZ22" s="2"/>
      <c r="PRA22" s="2"/>
      <c r="PRB22" s="2"/>
      <c r="PRC22" s="2"/>
      <c r="PRD22" s="2"/>
      <c r="PRE22" s="2"/>
      <c r="PRF22" s="2"/>
      <c r="PRG22" s="2"/>
      <c r="PRH22" s="2"/>
      <c r="PRI22" s="2"/>
      <c r="PRJ22" s="2"/>
      <c r="PRK22" s="2"/>
      <c r="PRL22" s="2"/>
      <c r="PRM22" s="2"/>
      <c r="PRN22" s="2"/>
      <c r="PRO22" s="2"/>
      <c r="PRP22" s="2"/>
      <c r="PRQ22" s="2"/>
      <c r="PRR22" s="2"/>
      <c r="PRS22" s="2"/>
      <c r="PRT22" s="2"/>
      <c r="PRU22" s="2"/>
      <c r="PRV22" s="2"/>
      <c r="PRW22" s="2"/>
      <c r="PRX22" s="2"/>
      <c r="PRY22" s="2"/>
      <c r="PRZ22" s="2"/>
      <c r="PSA22" s="2"/>
      <c r="PSB22" s="2"/>
      <c r="PSC22" s="2"/>
      <c r="PSD22" s="2"/>
      <c r="PSE22" s="2"/>
      <c r="PSF22" s="2"/>
      <c r="PSG22" s="2"/>
      <c r="PSH22" s="2"/>
      <c r="PSI22" s="2"/>
      <c r="PSJ22" s="2"/>
      <c r="PSK22" s="2"/>
      <c r="PSL22" s="2"/>
      <c r="PSM22" s="2"/>
      <c r="PSN22" s="2"/>
      <c r="PSO22" s="2"/>
      <c r="PSP22" s="2"/>
      <c r="PSQ22" s="2"/>
      <c r="PSR22" s="2"/>
      <c r="PSS22" s="2"/>
      <c r="PST22" s="2"/>
      <c r="PSU22" s="2"/>
      <c r="PSV22" s="2"/>
      <c r="PSW22" s="2"/>
      <c r="PSX22" s="2"/>
      <c r="PSY22" s="2"/>
      <c r="PSZ22" s="2"/>
      <c r="PTA22" s="2"/>
      <c r="PTB22" s="2"/>
      <c r="PTC22" s="2"/>
      <c r="PTD22" s="2"/>
      <c r="PTE22" s="2"/>
      <c r="PTF22" s="2"/>
      <c r="PTG22" s="2"/>
      <c r="PTH22" s="2"/>
      <c r="PTI22" s="2"/>
      <c r="PTJ22" s="2"/>
      <c r="PTK22" s="2"/>
      <c r="PTL22" s="2"/>
      <c r="PTM22" s="2"/>
      <c r="PTN22" s="2"/>
      <c r="PTO22" s="2"/>
      <c r="PTP22" s="2"/>
      <c r="PTQ22" s="2"/>
      <c r="PTR22" s="2"/>
      <c r="PTS22" s="2"/>
      <c r="PTT22" s="2"/>
      <c r="PTU22" s="2"/>
      <c r="PTV22" s="2"/>
      <c r="PTW22" s="2"/>
      <c r="PTX22" s="2"/>
      <c r="PTY22" s="2"/>
      <c r="PTZ22" s="2"/>
      <c r="PUA22" s="2"/>
      <c r="PUB22" s="2"/>
      <c r="PUC22" s="2"/>
      <c r="PUD22" s="2"/>
      <c r="PUE22" s="2"/>
      <c r="PUF22" s="2"/>
      <c r="PUG22" s="2"/>
      <c r="PUH22" s="2"/>
      <c r="PUI22" s="2"/>
      <c r="PUJ22" s="2"/>
      <c r="PUK22" s="2"/>
      <c r="PUL22" s="2"/>
      <c r="PUM22" s="2"/>
      <c r="PUN22" s="2"/>
      <c r="PUO22" s="2"/>
      <c r="PUP22" s="2"/>
      <c r="PUQ22" s="2"/>
      <c r="PUR22" s="2"/>
      <c r="PUS22" s="2"/>
      <c r="PUT22" s="2"/>
      <c r="PUU22" s="2"/>
      <c r="PUV22" s="2"/>
      <c r="PUW22" s="2"/>
      <c r="PUX22" s="2"/>
      <c r="PUY22" s="2"/>
      <c r="PUZ22" s="2"/>
      <c r="PVA22" s="2"/>
      <c r="PVB22" s="2"/>
      <c r="PVC22" s="2"/>
      <c r="PVD22" s="2"/>
      <c r="PVE22" s="2"/>
      <c r="PVF22" s="2"/>
      <c r="PVG22" s="2"/>
      <c r="PVH22" s="2"/>
      <c r="PVI22" s="2"/>
      <c r="PVJ22" s="2"/>
      <c r="PVK22" s="2"/>
      <c r="PVL22" s="2"/>
      <c r="PVM22" s="2"/>
      <c r="PVN22" s="2"/>
      <c r="PVO22" s="2"/>
      <c r="PVP22" s="2"/>
      <c r="PVQ22" s="2"/>
      <c r="PVR22" s="2"/>
      <c r="PVS22" s="2"/>
      <c r="PVT22" s="2"/>
      <c r="PVU22" s="2"/>
      <c r="PVV22" s="2"/>
      <c r="PVW22" s="2"/>
      <c r="PVX22" s="2"/>
      <c r="PVY22" s="2"/>
      <c r="PVZ22" s="2"/>
      <c r="PWA22" s="2"/>
      <c r="PWB22" s="2"/>
      <c r="PWC22" s="2"/>
      <c r="PWD22" s="2"/>
      <c r="PWE22" s="2"/>
      <c r="PWF22" s="2"/>
      <c r="PWG22" s="2"/>
      <c r="PWH22" s="2"/>
      <c r="PWI22" s="2"/>
      <c r="PWJ22" s="2"/>
      <c r="PWK22" s="2"/>
      <c r="PWL22" s="2"/>
      <c r="PWM22" s="2"/>
      <c r="PWN22" s="2"/>
      <c r="PWO22" s="2"/>
      <c r="PWP22" s="2"/>
      <c r="PWQ22" s="2"/>
      <c r="PWR22" s="2"/>
      <c r="PWS22" s="2"/>
      <c r="PWT22" s="2"/>
      <c r="PWU22" s="2"/>
      <c r="PWV22" s="2"/>
      <c r="PWW22" s="2"/>
      <c r="PWX22" s="2"/>
      <c r="PWY22" s="2"/>
      <c r="PWZ22" s="2"/>
      <c r="PXA22" s="2"/>
      <c r="PXB22" s="2"/>
      <c r="PXC22" s="2"/>
      <c r="PXD22" s="2"/>
      <c r="PXE22" s="2"/>
      <c r="PXF22" s="2"/>
      <c r="PXG22" s="2"/>
      <c r="PXH22" s="2"/>
      <c r="PXI22" s="2"/>
      <c r="PXJ22" s="2"/>
      <c r="PXK22" s="2"/>
      <c r="PXL22" s="2"/>
      <c r="PXM22" s="2"/>
      <c r="PXN22" s="2"/>
      <c r="PXO22" s="2"/>
      <c r="PXP22" s="2"/>
      <c r="PXQ22" s="2"/>
      <c r="PXR22" s="2"/>
      <c r="PXS22" s="2"/>
      <c r="PXT22" s="2"/>
      <c r="PXU22" s="2"/>
      <c r="PXV22" s="2"/>
      <c r="PXW22" s="2"/>
      <c r="PXX22" s="2"/>
      <c r="PXY22" s="2"/>
      <c r="PXZ22" s="2"/>
      <c r="PYA22" s="2"/>
      <c r="PYB22" s="2"/>
      <c r="PYC22" s="2"/>
      <c r="PYD22" s="2"/>
      <c r="PYE22" s="2"/>
      <c r="PYF22" s="2"/>
      <c r="PYG22" s="2"/>
      <c r="PYH22" s="2"/>
      <c r="PYI22" s="2"/>
      <c r="PYJ22" s="2"/>
      <c r="PYK22" s="2"/>
      <c r="PYL22" s="2"/>
      <c r="PYM22" s="2"/>
      <c r="PYN22" s="2"/>
      <c r="PYO22" s="2"/>
      <c r="PYP22" s="2"/>
      <c r="PYQ22" s="2"/>
      <c r="PYR22" s="2"/>
      <c r="PYS22" s="2"/>
      <c r="PYT22" s="2"/>
      <c r="PYU22" s="2"/>
      <c r="PYV22" s="2"/>
      <c r="PYW22" s="2"/>
      <c r="PYX22" s="2"/>
      <c r="PYY22" s="2"/>
      <c r="PYZ22" s="2"/>
      <c r="PZA22" s="2"/>
      <c r="PZB22" s="2"/>
      <c r="PZC22" s="2"/>
      <c r="PZD22" s="2"/>
      <c r="PZE22" s="2"/>
      <c r="PZF22" s="2"/>
      <c r="PZG22" s="2"/>
      <c r="PZH22" s="2"/>
      <c r="PZI22" s="2"/>
      <c r="PZJ22" s="2"/>
      <c r="PZK22" s="2"/>
      <c r="PZL22" s="2"/>
      <c r="PZM22" s="2"/>
      <c r="PZN22" s="2"/>
      <c r="PZO22" s="2"/>
      <c r="PZP22" s="2"/>
      <c r="PZQ22" s="2"/>
      <c r="PZR22" s="2"/>
      <c r="PZS22" s="2"/>
      <c r="PZT22" s="2"/>
      <c r="PZU22" s="2"/>
      <c r="PZV22" s="2"/>
      <c r="PZW22" s="2"/>
      <c r="PZX22" s="2"/>
      <c r="PZY22" s="2"/>
      <c r="PZZ22" s="2"/>
      <c r="QAA22" s="2"/>
      <c r="QAB22" s="2"/>
      <c r="QAC22" s="2"/>
      <c r="QAD22" s="2"/>
      <c r="QAE22" s="2"/>
      <c r="QAF22" s="2"/>
      <c r="QAG22" s="2"/>
      <c r="QAH22" s="2"/>
      <c r="QAI22" s="2"/>
      <c r="QAJ22" s="2"/>
      <c r="QAK22" s="2"/>
      <c r="QAL22" s="2"/>
      <c r="QAM22" s="2"/>
      <c r="QAN22" s="2"/>
      <c r="QAO22" s="2"/>
      <c r="QAP22" s="2"/>
      <c r="QAQ22" s="2"/>
      <c r="QAR22" s="2"/>
      <c r="QAS22" s="2"/>
      <c r="QAT22" s="2"/>
      <c r="QAU22" s="2"/>
      <c r="QAV22" s="2"/>
      <c r="QAW22" s="2"/>
      <c r="QAX22" s="2"/>
      <c r="QAY22" s="2"/>
      <c r="QAZ22" s="2"/>
      <c r="QBA22" s="2"/>
      <c r="QBB22" s="2"/>
      <c r="QBC22" s="2"/>
      <c r="QBD22" s="2"/>
      <c r="QBE22" s="2"/>
      <c r="QBF22" s="2"/>
      <c r="QBG22" s="2"/>
      <c r="QBH22" s="2"/>
      <c r="QBI22" s="2"/>
      <c r="QBJ22" s="2"/>
      <c r="QBK22" s="2"/>
      <c r="QBL22" s="2"/>
      <c r="QBM22" s="2"/>
      <c r="QBN22" s="2"/>
      <c r="QBO22" s="2"/>
      <c r="QBP22" s="2"/>
      <c r="QBQ22" s="2"/>
      <c r="QBR22" s="2"/>
      <c r="QBS22" s="2"/>
      <c r="QBT22" s="2"/>
      <c r="QBU22" s="2"/>
      <c r="QBV22" s="2"/>
      <c r="QBW22" s="2"/>
      <c r="QBX22" s="2"/>
      <c r="QBY22" s="2"/>
      <c r="QBZ22" s="2"/>
      <c r="QCA22" s="2"/>
      <c r="QCB22" s="2"/>
      <c r="QCC22" s="2"/>
      <c r="QCD22" s="2"/>
      <c r="QCE22" s="2"/>
      <c r="QCF22" s="2"/>
      <c r="QCG22" s="2"/>
      <c r="QCH22" s="2"/>
      <c r="QCI22" s="2"/>
      <c r="QCJ22" s="2"/>
      <c r="QCK22" s="2"/>
      <c r="QCL22" s="2"/>
      <c r="QCM22" s="2"/>
      <c r="QCN22" s="2"/>
      <c r="QCO22" s="2"/>
      <c r="QCP22" s="2"/>
      <c r="QCQ22" s="2"/>
      <c r="QCR22" s="2"/>
      <c r="QCS22" s="2"/>
      <c r="QCT22" s="2"/>
      <c r="QCU22" s="2"/>
      <c r="QCV22" s="2"/>
      <c r="QCW22" s="2"/>
      <c r="QCX22" s="2"/>
      <c r="QCY22" s="2"/>
      <c r="QCZ22" s="2"/>
      <c r="QDA22" s="2"/>
      <c r="QDB22" s="2"/>
      <c r="QDC22" s="2"/>
      <c r="QDD22" s="2"/>
      <c r="QDE22" s="2"/>
      <c r="QDF22" s="2"/>
      <c r="QDG22" s="2"/>
      <c r="QDH22" s="2"/>
      <c r="QDI22" s="2"/>
      <c r="QDJ22" s="2"/>
      <c r="QDK22" s="2"/>
      <c r="QDL22" s="2"/>
      <c r="QDM22" s="2"/>
      <c r="QDN22" s="2"/>
      <c r="QDO22" s="2"/>
      <c r="QDP22" s="2"/>
      <c r="QDQ22" s="2"/>
      <c r="QDR22" s="2"/>
      <c r="QDS22" s="2"/>
      <c r="QDT22" s="2"/>
      <c r="QDU22" s="2"/>
      <c r="QDV22" s="2"/>
      <c r="QDW22" s="2"/>
      <c r="QDX22" s="2"/>
      <c r="QDY22" s="2"/>
      <c r="QDZ22" s="2"/>
      <c r="QEA22" s="2"/>
      <c r="QEB22" s="2"/>
      <c r="QEC22" s="2"/>
      <c r="QED22" s="2"/>
      <c r="QEE22" s="2"/>
      <c r="QEF22" s="2"/>
      <c r="QEG22" s="2"/>
      <c r="QEH22" s="2"/>
      <c r="QEI22" s="2"/>
      <c r="QEJ22" s="2"/>
      <c r="QEK22" s="2"/>
      <c r="QEL22" s="2"/>
      <c r="QEM22" s="2"/>
      <c r="QEN22" s="2"/>
      <c r="QEO22" s="2"/>
      <c r="QEP22" s="2"/>
      <c r="QEQ22" s="2"/>
      <c r="QER22" s="2"/>
      <c r="QES22" s="2"/>
      <c r="QET22" s="2"/>
      <c r="QEU22" s="2"/>
      <c r="QEV22" s="2"/>
      <c r="QEW22" s="2"/>
      <c r="QEX22" s="2"/>
      <c r="QEY22" s="2"/>
      <c r="QEZ22" s="2"/>
      <c r="QFA22" s="2"/>
      <c r="QFB22" s="2"/>
      <c r="QFC22" s="2"/>
      <c r="QFD22" s="2"/>
      <c r="QFE22" s="2"/>
      <c r="QFF22" s="2"/>
      <c r="QFG22" s="2"/>
      <c r="QFH22" s="2"/>
      <c r="QFI22" s="2"/>
      <c r="QFJ22" s="2"/>
      <c r="QFK22" s="2"/>
      <c r="QFL22" s="2"/>
      <c r="QFM22" s="2"/>
      <c r="QFN22" s="2"/>
      <c r="QFO22" s="2"/>
      <c r="QFP22" s="2"/>
      <c r="QFQ22" s="2"/>
      <c r="QFR22" s="2"/>
      <c r="QFS22" s="2"/>
      <c r="QFT22" s="2"/>
      <c r="QFU22" s="2"/>
      <c r="QFV22" s="2"/>
      <c r="QFW22" s="2"/>
      <c r="QFX22" s="2"/>
      <c r="QFY22" s="2"/>
      <c r="QFZ22" s="2"/>
      <c r="QGA22" s="2"/>
      <c r="QGB22" s="2"/>
      <c r="QGC22" s="2"/>
      <c r="QGD22" s="2"/>
      <c r="QGE22" s="2"/>
      <c r="QGF22" s="2"/>
      <c r="QGG22" s="2"/>
      <c r="QGH22" s="2"/>
      <c r="QGI22" s="2"/>
      <c r="QGJ22" s="2"/>
      <c r="QGK22" s="2"/>
      <c r="QGL22" s="2"/>
      <c r="QGM22" s="2"/>
      <c r="QGN22" s="2"/>
      <c r="QGO22" s="2"/>
      <c r="QGP22" s="2"/>
      <c r="QGQ22" s="2"/>
      <c r="QGR22" s="2"/>
      <c r="QGS22" s="2"/>
      <c r="QGT22" s="2"/>
      <c r="QGU22" s="2"/>
      <c r="QGV22" s="2"/>
      <c r="QGW22" s="2"/>
      <c r="QGX22" s="2"/>
      <c r="QGY22" s="2"/>
      <c r="QGZ22" s="2"/>
      <c r="QHA22" s="2"/>
      <c r="QHB22" s="2"/>
      <c r="QHC22" s="2"/>
      <c r="QHD22" s="2"/>
      <c r="QHE22" s="2"/>
      <c r="QHF22" s="2"/>
      <c r="QHG22" s="2"/>
      <c r="QHH22" s="2"/>
      <c r="QHI22" s="2"/>
      <c r="QHJ22" s="2"/>
      <c r="QHK22" s="2"/>
      <c r="QHL22" s="2"/>
      <c r="QHM22" s="2"/>
      <c r="QHN22" s="2"/>
      <c r="QHO22" s="2"/>
      <c r="QHP22" s="2"/>
      <c r="QHQ22" s="2"/>
      <c r="QHR22" s="2"/>
      <c r="QHS22" s="2"/>
      <c r="QHT22" s="2"/>
      <c r="QHU22" s="2"/>
      <c r="QHV22" s="2"/>
      <c r="QHW22" s="2"/>
      <c r="QHX22" s="2"/>
      <c r="QHY22" s="2"/>
      <c r="QHZ22" s="2"/>
      <c r="QIA22" s="2"/>
      <c r="QIB22" s="2"/>
      <c r="QIC22" s="2"/>
      <c r="QID22" s="2"/>
      <c r="QIE22" s="2"/>
      <c r="QIF22" s="2"/>
      <c r="QIG22" s="2"/>
      <c r="QIH22" s="2"/>
      <c r="QII22" s="2"/>
      <c r="QIJ22" s="2"/>
      <c r="QIK22" s="2"/>
      <c r="QIL22" s="2"/>
      <c r="QIM22" s="2"/>
      <c r="QIN22" s="2"/>
      <c r="QIO22" s="2"/>
      <c r="QIP22" s="2"/>
      <c r="QIQ22" s="2"/>
      <c r="QIR22" s="2"/>
      <c r="QIS22" s="2"/>
      <c r="QIT22" s="2"/>
      <c r="QIU22" s="2"/>
      <c r="QIV22" s="2"/>
      <c r="QIW22" s="2"/>
      <c r="QIX22" s="2"/>
      <c r="QIY22" s="2"/>
      <c r="QIZ22" s="2"/>
      <c r="QJA22" s="2"/>
      <c r="QJB22" s="2"/>
      <c r="QJC22" s="2"/>
      <c r="QJD22" s="2"/>
      <c r="QJE22" s="2"/>
      <c r="QJF22" s="2"/>
      <c r="QJG22" s="2"/>
      <c r="QJH22" s="2"/>
      <c r="QJI22" s="2"/>
      <c r="QJJ22" s="2"/>
      <c r="QJK22" s="2"/>
      <c r="QJL22" s="2"/>
      <c r="QJM22" s="2"/>
      <c r="QJN22" s="2"/>
      <c r="QJO22" s="2"/>
      <c r="QJP22" s="2"/>
      <c r="QJQ22" s="2"/>
      <c r="QJR22" s="2"/>
      <c r="QJS22" s="2"/>
      <c r="QJT22" s="2"/>
      <c r="QJU22" s="2"/>
      <c r="QJV22" s="2"/>
      <c r="QJW22" s="2"/>
      <c r="QJX22" s="2"/>
      <c r="QJY22" s="2"/>
      <c r="QJZ22" s="2"/>
      <c r="QKA22" s="2"/>
      <c r="QKB22" s="2"/>
      <c r="QKC22" s="2"/>
      <c r="QKD22" s="2"/>
      <c r="QKE22" s="2"/>
      <c r="QKF22" s="2"/>
      <c r="QKG22" s="2"/>
      <c r="QKH22" s="2"/>
      <c r="QKI22" s="2"/>
      <c r="QKJ22" s="2"/>
      <c r="QKK22" s="2"/>
      <c r="QKL22" s="2"/>
      <c r="QKM22" s="2"/>
      <c r="QKN22" s="2"/>
      <c r="QKO22" s="2"/>
      <c r="QKP22" s="2"/>
      <c r="QKQ22" s="2"/>
      <c r="QKR22" s="2"/>
      <c r="QKS22" s="2"/>
      <c r="QKT22" s="2"/>
      <c r="QKU22" s="2"/>
      <c r="QKV22" s="2"/>
      <c r="QKW22" s="2"/>
      <c r="QKX22" s="2"/>
      <c r="QKY22" s="2"/>
      <c r="QKZ22" s="2"/>
      <c r="QLA22" s="2"/>
      <c r="QLB22" s="2"/>
      <c r="QLC22" s="2"/>
      <c r="QLD22" s="2"/>
      <c r="QLE22" s="2"/>
      <c r="QLF22" s="2"/>
      <c r="QLG22" s="2"/>
      <c r="QLH22" s="2"/>
      <c r="QLI22" s="2"/>
      <c r="QLJ22" s="2"/>
      <c r="QLK22" s="2"/>
      <c r="QLL22" s="2"/>
      <c r="QLM22" s="2"/>
      <c r="QLN22" s="2"/>
      <c r="QLO22" s="2"/>
      <c r="QLP22" s="2"/>
      <c r="QLQ22" s="2"/>
      <c r="QLR22" s="2"/>
      <c r="QLS22" s="2"/>
      <c r="QLT22" s="2"/>
      <c r="QLU22" s="2"/>
      <c r="QLV22" s="2"/>
      <c r="QLW22" s="2"/>
      <c r="QLX22" s="2"/>
      <c r="QLY22" s="2"/>
      <c r="QLZ22" s="2"/>
      <c r="QMA22" s="2"/>
      <c r="QMB22" s="2"/>
      <c r="QMC22" s="2"/>
      <c r="QMD22" s="2"/>
      <c r="QME22" s="2"/>
      <c r="QMF22" s="2"/>
      <c r="QMG22" s="2"/>
      <c r="QMH22" s="2"/>
      <c r="QMI22" s="2"/>
      <c r="QMJ22" s="2"/>
      <c r="QMK22" s="2"/>
      <c r="QML22" s="2"/>
      <c r="QMM22" s="2"/>
      <c r="QMN22" s="2"/>
      <c r="QMO22" s="2"/>
      <c r="QMP22" s="2"/>
      <c r="QMQ22" s="2"/>
      <c r="QMR22" s="2"/>
      <c r="QMS22" s="2"/>
      <c r="QMT22" s="2"/>
      <c r="QMU22" s="2"/>
      <c r="QMV22" s="2"/>
      <c r="QMW22" s="2"/>
      <c r="QMX22" s="2"/>
      <c r="QMY22" s="2"/>
      <c r="QMZ22" s="2"/>
      <c r="QNA22" s="2"/>
      <c r="QNB22" s="2"/>
      <c r="QNC22" s="2"/>
      <c r="QND22" s="2"/>
      <c r="QNE22" s="2"/>
      <c r="QNF22" s="2"/>
      <c r="QNG22" s="2"/>
      <c r="QNH22" s="2"/>
      <c r="QNI22" s="2"/>
      <c r="QNJ22" s="2"/>
      <c r="QNK22" s="2"/>
      <c r="QNL22" s="2"/>
      <c r="QNM22" s="2"/>
      <c r="QNN22" s="2"/>
      <c r="QNO22" s="2"/>
      <c r="QNP22" s="2"/>
      <c r="QNQ22" s="2"/>
      <c r="QNR22" s="2"/>
      <c r="QNS22" s="2"/>
      <c r="QNT22" s="2"/>
      <c r="QNU22" s="2"/>
      <c r="QNV22" s="2"/>
      <c r="QNW22" s="2"/>
      <c r="QNX22" s="2"/>
      <c r="QNY22" s="2"/>
      <c r="QNZ22" s="2"/>
      <c r="QOA22" s="2"/>
      <c r="QOB22" s="2"/>
      <c r="QOC22" s="2"/>
      <c r="QOD22" s="2"/>
      <c r="QOE22" s="2"/>
      <c r="QOF22" s="2"/>
      <c r="QOG22" s="2"/>
      <c r="QOH22" s="2"/>
      <c r="QOI22" s="2"/>
      <c r="QOJ22" s="2"/>
      <c r="QOK22" s="2"/>
      <c r="QOL22" s="2"/>
      <c r="QOM22" s="2"/>
      <c r="QON22" s="2"/>
      <c r="QOO22" s="2"/>
      <c r="QOP22" s="2"/>
      <c r="QOQ22" s="2"/>
      <c r="QOR22" s="2"/>
      <c r="QOS22" s="2"/>
      <c r="QOT22" s="2"/>
      <c r="QOU22" s="2"/>
      <c r="QOV22" s="2"/>
      <c r="QOW22" s="2"/>
      <c r="QOX22" s="2"/>
      <c r="QOY22" s="2"/>
      <c r="QOZ22" s="2"/>
      <c r="QPA22" s="2"/>
      <c r="QPB22" s="2"/>
      <c r="QPC22" s="2"/>
      <c r="QPD22" s="2"/>
      <c r="QPE22" s="2"/>
      <c r="QPF22" s="2"/>
      <c r="QPG22" s="2"/>
      <c r="QPH22" s="2"/>
      <c r="QPI22" s="2"/>
      <c r="QPJ22" s="2"/>
      <c r="QPK22" s="2"/>
      <c r="QPL22" s="2"/>
      <c r="QPM22" s="2"/>
      <c r="QPN22" s="2"/>
      <c r="QPO22" s="2"/>
      <c r="QPP22" s="2"/>
      <c r="QPQ22" s="2"/>
      <c r="QPR22" s="2"/>
      <c r="QPS22" s="2"/>
      <c r="QPT22" s="2"/>
      <c r="QPU22" s="2"/>
      <c r="QPV22" s="2"/>
      <c r="QPW22" s="2"/>
      <c r="QPX22" s="2"/>
      <c r="QPY22" s="2"/>
      <c r="QPZ22" s="2"/>
      <c r="QQA22" s="2"/>
      <c r="QQB22" s="2"/>
      <c r="QQC22" s="2"/>
      <c r="QQD22" s="2"/>
      <c r="QQE22" s="2"/>
      <c r="QQF22" s="2"/>
      <c r="QQG22" s="2"/>
      <c r="QQH22" s="2"/>
      <c r="QQI22" s="2"/>
      <c r="QQJ22" s="2"/>
      <c r="QQK22" s="2"/>
      <c r="QQL22" s="2"/>
      <c r="QQM22" s="2"/>
      <c r="QQN22" s="2"/>
      <c r="QQO22" s="2"/>
      <c r="QQP22" s="2"/>
      <c r="QQQ22" s="2"/>
      <c r="QQR22" s="2"/>
      <c r="QQS22" s="2"/>
      <c r="QQT22" s="2"/>
      <c r="QQU22" s="2"/>
      <c r="QQV22" s="2"/>
      <c r="QQW22" s="2"/>
      <c r="QQX22" s="2"/>
      <c r="QQY22" s="2"/>
      <c r="QQZ22" s="2"/>
      <c r="QRA22" s="2"/>
      <c r="QRB22" s="2"/>
      <c r="QRC22" s="2"/>
      <c r="QRD22" s="2"/>
      <c r="QRE22" s="2"/>
      <c r="QRF22" s="2"/>
      <c r="QRG22" s="2"/>
      <c r="QRH22" s="2"/>
      <c r="QRI22" s="2"/>
      <c r="QRJ22" s="2"/>
      <c r="QRK22" s="2"/>
      <c r="QRL22" s="2"/>
      <c r="QRM22" s="2"/>
      <c r="QRN22" s="2"/>
      <c r="QRO22" s="2"/>
      <c r="QRP22" s="2"/>
      <c r="QRQ22" s="2"/>
      <c r="QRR22" s="2"/>
      <c r="QRS22" s="2"/>
      <c r="QRT22" s="2"/>
      <c r="QRU22" s="2"/>
      <c r="QRV22" s="2"/>
      <c r="QRW22" s="2"/>
      <c r="QRX22" s="2"/>
      <c r="QRY22" s="2"/>
      <c r="QRZ22" s="2"/>
      <c r="QSA22" s="2"/>
      <c r="QSB22" s="2"/>
      <c r="QSC22" s="2"/>
      <c r="QSD22" s="2"/>
      <c r="QSE22" s="2"/>
      <c r="QSF22" s="2"/>
      <c r="QSG22" s="2"/>
      <c r="QSH22" s="2"/>
      <c r="QSI22" s="2"/>
      <c r="QSJ22" s="2"/>
      <c r="QSK22" s="2"/>
      <c r="QSL22" s="2"/>
      <c r="QSM22" s="2"/>
      <c r="QSN22" s="2"/>
      <c r="QSO22" s="2"/>
      <c r="QSP22" s="2"/>
      <c r="QSQ22" s="2"/>
      <c r="QSR22" s="2"/>
      <c r="QSS22" s="2"/>
      <c r="QST22" s="2"/>
      <c r="QSU22" s="2"/>
      <c r="QSV22" s="2"/>
      <c r="QSW22" s="2"/>
      <c r="QSX22" s="2"/>
      <c r="QSY22" s="2"/>
      <c r="QSZ22" s="2"/>
      <c r="QTA22" s="2"/>
      <c r="QTB22" s="2"/>
      <c r="QTC22" s="2"/>
      <c r="QTD22" s="2"/>
      <c r="QTE22" s="2"/>
      <c r="QTF22" s="2"/>
      <c r="QTG22" s="2"/>
      <c r="QTH22" s="2"/>
      <c r="QTI22" s="2"/>
      <c r="QTJ22" s="2"/>
      <c r="QTK22" s="2"/>
      <c r="QTL22" s="2"/>
      <c r="QTM22" s="2"/>
      <c r="QTN22" s="2"/>
      <c r="QTO22" s="2"/>
      <c r="QTP22" s="2"/>
      <c r="QTQ22" s="2"/>
      <c r="QTR22" s="2"/>
      <c r="QTS22" s="2"/>
      <c r="QTT22" s="2"/>
      <c r="QTU22" s="2"/>
      <c r="QTV22" s="2"/>
      <c r="QTW22" s="2"/>
      <c r="QTX22" s="2"/>
      <c r="QTY22" s="2"/>
      <c r="QTZ22" s="2"/>
      <c r="QUA22" s="2"/>
      <c r="QUB22" s="2"/>
      <c r="QUC22" s="2"/>
      <c r="QUD22" s="2"/>
      <c r="QUE22" s="2"/>
      <c r="QUF22" s="2"/>
      <c r="QUG22" s="2"/>
      <c r="QUH22" s="2"/>
      <c r="QUI22" s="2"/>
      <c r="QUJ22" s="2"/>
      <c r="QUK22" s="2"/>
      <c r="QUL22" s="2"/>
      <c r="QUM22" s="2"/>
      <c r="QUN22" s="2"/>
      <c r="QUO22" s="2"/>
      <c r="QUP22" s="2"/>
      <c r="QUQ22" s="2"/>
      <c r="QUR22" s="2"/>
      <c r="QUS22" s="2"/>
      <c r="QUT22" s="2"/>
      <c r="QUU22" s="2"/>
      <c r="QUV22" s="2"/>
      <c r="QUW22" s="2"/>
      <c r="QUX22" s="2"/>
      <c r="QUY22" s="2"/>
      <c r="QUZ22" s="2"/>
      <c r="QVA22" s="2"/>
      <c r="QVB22" s="2"/>
      <c r="QVC22" s="2"/>
      <c r="QVD22" s="2"/>
      <c r="QVE22" s="2"/>
      <c r="QVF22" s="2"/>
      <c r="QVG22" s="2"/>
      <c r="QVH22" s="2"/>
      <c r="QVI22" s="2"/>
      <c r="QVJ22" s="2"/>
      <c r="QVK22" s="2"/>
      <c r="QVL22" s="2"/>
      <c r="QVM22" s="2"/>
      <c r="QVN22" s="2"/>
      <c r="QVO22" s="2"/>
      <c r="QVP22" s="2"/>
      <c r="QVQ22" s="2"/>
      <c r="QVR22" s="2"/>
      <c r="QVS22" s="2"/>
      <c r="QVT22" s="2"/>
      <c r="QVU22" s="2"/>
      <c r="QVV22" s="2"/>
      <c r="QVW22" s="2"/>
      <c r="QVX22" s="2"/>
      <c r="QVY22" s="2"/>
      <c r="QVZ22" s="2"/>
      <c r="QWA22" s="2"/>
      <c r="QWB22" s="2"/>
      <c r="QWC22" s="2"/>
      <c r="QWD22" s="2"/>
      <c r="QWE22" s="2"/>
      <c r="QWF22" s="2"/>
      <c r="QWG22" s="2"/>
      <c r="QWH22" s="2"/>
      <c r="QWI22" s="2"/>
      <c r="QWJ22" s="2"/>
      <c r="QWK22" s="2"/>
      <c r="QWL22" s="2"/>
      <c r="QWM22" s="2"/>
      <c r="QWN22" s="2"/>
      <c r="QWO22" s="2"/>
      <c r="QWP22" s="2"/>
      <c r="QWQ22" s="2"/>
      <c r="QWR22" s="2"/>
      <c r="QWS22" s="2"/>
      <c r="QWT22" s="2"/>
      <c r="QWU22" s="2"/>
      <c r="QWV22" s="2"/>
      <c r="QWW22" s="2"/>
      <c r="QWX22" s="2"/>
      <c r="QWY22" s="2"/>
      <c r="QWZ22" s="2"/>
      <c r="QXA22" s="2"/>
      <c r="QXB22" s="2"/>
      <c r="QXC22" s="2"/>
      <c r="QXD22" s="2"/>
      <c r="QXE22" s="2"/>
      <c r="QXF22" s="2"/>
      <c r="QXG22" s="2"/>
      <c r="QXH22" s="2"/>
      <c r="QXI22" s="2"/>
      <c r="QXJ22" s="2"/>
      <c r="QXK22" s="2"/>
      <c r="QXL22" s="2"/>
      <c r="QXM22" s="2"/>
      <c r="QXN22" s="2"/>
      <c r="QXO22" s="2"/>
      <c r="QXP22" s="2"/>
      <c r="QXQ22" s="2"/>
      <c r="QXR22" s="2"/>
      <c r="QXS22" s="2"/>
      <c r="QXT22" s="2"/>
      <c r="QXU22" s="2"/>
      <c r="QXV22" s="2"/>
      <c r="QXW22" s="2"/>
      <c r="QXX22" s="2"/>
      <c r="QXY22" s="2"/>
      <c r="QXZ22" s="2"/>
      <c r="QYA22" s="2"/>
      <c r="QYB22" s="2"/>
      <c r="QYC22" s="2"/>
      <c r="QYD22" s="2"/>
      <c r="QYE22" s="2"/>
      <c r="QYF22" s="2"/>
      <c r="QYG22" s="2"/>
      <c r="QYH22" s="2"/>
      <c r="QYI22" s="2"/>
      <c r="QYJ22" s="2"/>
      <c r="QYK22" s="2"/>
      <c r="QYL22" s="2"/>
      <c r="QYM22" s="2"/>
      <c r="QYN22" s="2"/>
      <c r="QYO22" s="2"/>
      <c r="QYP22" s="2"/>
      <c r="QYQ22" s="2"/>
      <c r="QYR22" s="2"/>
      <c r="QYS22" s="2"/>
      <c r="QYT22" s="2"/>
      <c r="QYU22" s="2"/>
      <c r="QYV22" s="2"/>
      <c r="QYW22" s="2"/>
      <c r="QYX22" s="2"/>
      <c r="QYY22" s="2"/>
      <c r="QYZ22" s="2"/>
      <c r="QZA22" s="2"/>
      <c r="QZB22" s="2"/>
      <c r="QZC22" s="2"/>
      <c r="QZD22" s="2"/>
      <c r="QZE22" s="2"/>
      <c r="QZF22" s="2"/>
      <c r="QZG22" s="2"/>
      <c r="QZH22" s="2"/>
      <c r="QZI22" s="2"/>
      <c r="QZJ22" s="2"/>
      <c r="QZK22" s="2"/>
      <c r="QZL22" s="2"/>
      <c r="QZM22" s="2"/>
      <c r="QZN22" s="2"/>
      <c r="QZO22" s="2"/>
      <c r="QZP22" s="2"/>
      <c r="QZQ22" s="2"/>
      <c r="QZR22" s="2"/>
      <c r="QZS22" s="2"/>
      <c r="QZT22" s="2"/>
      <c r="QZU22" s="2"/>
      <c r="QZV22" s="2"/>
      <c r="QZW22" s="2"/>
      <c r="QZX22" s="2"/>
      <c r="QZY22" s="2"/>
      <c r="QZZ22" s="2"/>
      <c r="RAA22" s="2"/>
      <c r="RAB22" s="2"/>
      <c r="RAC22" s="2"/>
      <c r="RAD22" s="2"/>
      <c r="RAE22" s="2"/>
      <c r="RAF22" s="2"/>
      <c r="RAG22" s="2"/>
      <c r="RAH22" s="2"/>
      <c r="RAI22" s="2"/>
      <c r="RAJ22" s="2"/>
      <c r="RAK22" s="2"/>
      <c r="RAL22" s="2"/>
      <c r="RAM22" s="2"/>
      <c r="RAN22" s="2"/>
      <c r="RAO22" s="2"/>
      <c r="RAP22" s="2"/>
      <c r="RAQ22" s="2"/>
      <c r="RAR22" s="2"/>
      <c r="RAS22" s="2"/>
      <c r="RAT22" s="2"/>
      <c r="RAU22" s="2"/>
      <c r="RAV22" s="2"/>
      <c r="RAW22" s="2"/>
      <c r="RAX22" s="2"/>
      <c r="RAY22" s="2"/>
      <c r="RAZ22" s="2"/>
      <c r="RBA22" s="2"/>
      <c r="RBB22" s="2"/>
      <c r="RBC22" s="2"/>
      <c r="RBD22" s="2"/>
      <c r="RBE22" s="2"/>
      <c r="RBF22" s="2"/>
      <c r="RBG22" s="2"/>
      <c r="RBH22" s="2"/>
      <c r="RBI22" s="2"/>
      <c r="RBJ22" s="2"/>
      <c r="RBK22" s="2"/>
      <c r="RBL22" s="2"/>
      <c r="RBM22" s="2"/>
      <c r="RBN22" s="2"/>
      <c r="RBO22" s="2"/>
      <c r="RBP22" s="2"/>
      <c r="RBQ22" s="2"/>
      <c r="RBR22" s="2"/>
      <c r="RBS22" s="2"/>
      <c r="RBT22" s="2"/>
      <c r="RBU22" s="2"/>
      <c r="RBV22" s="2"/>
      <c r="RBW22" s="2"/>
      <c r="RBX22" s="2"/>
      <c r="RBY22" s="2"/>
      <c r="RBZ22" s="2"/>
      <c r="RCA22" s="2"/>
      <c r="RCB22" s="2"/>
      <c r="RCC22" s="2"/>
      <c r="RCD22" s="2"/>
      <c r="RCE22" s="2"/>
      <c r="RCF22" s="2"/>
      <c r="RCG22" s="2"/>
      <c r="RCH22" s="2"/>
      <c r="RCI22" s="2"/>
      <c r="RCJ22" s="2"/>
      <c r="RCK22" s="2"/>
      <c r="RCL22" s="2"/>
      <c r="RCM22" s="2"/>
      <c r="RCN22" s="2"/>
      <c r="RCO22" s="2"/>
      <c r="RCP22" s="2"/>
      <c r="RCQ22" s="2"/>
      <c r="RCR22" s="2"/>
      <c r="RCS22" s="2"/>
      <c r="RCT22" s="2"/>
      <c r="RCU22" s="2"/>
      <c r="RCV22" s="2"/>
      <c r="RCW22" s="2"/>
      <c r="RCX22" s="2"/>
      <c r="RCY22" s="2"/>
      <c r="RCZ22" s="2"/>
      <c r="RDA22" s="2"/>
      <c r="RDB22" s="2"/>
      <c r="RDC22" s="2"/>
      <c r="RDD22" s="2"/>
      <c r="RDE22" s="2"/>
      <c r="RDF22" s="2"/>
      <c r="RDG22" s="2"/>
      <c r="RDH22" s="2"/>
      <c r="RDI22" s="2"/>
      <c r="RDJ22" s="2"/>
      <c r="RDK22" s="2"/>
      <c r="RDL22" s="2"/>
      <c r="RDM22" s="2"/>
      <c r="RDN22" s="2"/>
      <c r="RDO22" s="2"/>
      <c r="RDP22" s="2"/>
      <c r="RDQ22" s="2"/>
      <c r="RDR22" s="2"/>
      <c r="RDS22" s="2"/>
      <c r="RDT22" s="2"/>
      <c r="RDU22" s="2"/>
      <c r="RDV22" s="2"/>
      <c r="RDW22" s="2"/>
      <c r="RDX22" s="2"/>
      <c r="RDY22" s="2"/>
      <c r="RDZ22" s="2"/>
      <c r="REA22" s="2"/>
      <c r="REB22" s="2"/>
      <c r="REC22" s="2"/>
      <c r="RED22" s="2"/>
      <c r="REE22" s="2"/>
      <c r="REF22" s="2"/>
      <c r="REG22" s="2"/>
      <c r="REH22" s="2"/>
      <c r="REI22" s="2"/>
      <c r="REJ22" s="2"/>
      <c r="REK22" s="2"/>
      <c r="REL22" s="2"/>
      <c r="REM22" s="2"/>
      <c r="REN22" s="2"/>
      <c r="REO22" s="2"/>
      <c r="REP22" s="2"/>
      <c r="REQ22" s="2"/>
      <c r="RER22" s="2"/>
      <c r="RES22" s="2"/>
      <c r="RET22" s="2"/>
      <c r="REU22" s="2"/>
      <c r="REV22" s="2"/>
      <c r="REW22" s="2"/>
      <c r="REX22" s="2"/>
      <c r="REY22" s="2"/>
      <c r="REZ22" s="2"/>
      <c r="RFA22" s="2"/>
      <c r="RFB22" s="2"/>
      <c r="RFC22" s="2"/>
      <c r="RFD22" s="2"/>
      <c r="RFE22" s="2"/>
      <c r="RFF22" s="2"/>
      <c r="RFG22" s="2"/>
      <c r="RFH22" s="2"/>
      <c r="RFI22" s="2"/>
      <c r="RFJ22" s="2"/>
      <c r="RFK22" s="2"/>
      <c r="RFL22" s="2"/>
      <c r="RFM22" s="2"/>
      <c r="RFN22" s="2"/>
      <c r="RFO22" s="2"/>
      <c r="RFP22" s="2"/>
      <c r="RFQ22" s="2"/>
      <c r="RFR22" s="2"/>
      <c r="RFS22" s="2"/>
      <c r="RFT22" s="2"/>
      <c r="RFU22" s="2"/>
      <c r="RFV22" s="2"/>
      <c r="RFW22" s="2"/>
      <c r="RFX22" s="2"/>
      <c r="RFY22" s="2"/>
      <c r="RFZ22" s="2"/>
      <c r="RGA22" s="2"/>
      <c r="RGB22" s="2"/>
      <c r="RGC22" s="2"/>
      <c r="RGD22" s="2"/>
      <c r="RGE22" s="2"/>
      <c r="RGF22" s="2"/>
      <c r="RGG22" s="2"/>
      <c r="RGH22" s="2"/>
      <c r="RGI22" s="2"/>
      <c r="RGJ22" s="2"/>
      <c r="RGK22" s="2"/>
      <c r="RGL22" s="2"/>
      <c r="RGM22" s="2"/>
      <c r="RGN22" s="2"/>
      <c r="RGO22" s="2"/>
      <c r="RGP22" s="2"/>
      <c r="RGQ22" s="2"/>
      <c r="RGR22" s="2"/>
      <c r="RGS22" s="2"/>
      <c r="RGT22" s="2"/>
      <c r="RGU22" s="2"/>
      <c r="RGV22" s="2"/>
      <c r="RGW22" s="2"/>
      <c r="RGX22" s="2"/>
      <c r="RGY22" s="2"/>
      <c r="RGZ22" s="2"/>
      <c r="RHA22" s="2"/>
      <c r="RHB22" s="2"/>
      <c r="RHC22" s="2"/>
      <c r="RHD22" s="2"/>
      <c r="RHE22" s="2"/>
      <c r="RHF22" s="2"/>
      <c r="RHG22" s="2"/>
      <c r="RHH22" s="2"/>
      <c r="RHI22" s="2"/>
      <c r="RHJ22" s="2"/>
      <c r="RHK22" s="2"/>
      <c r="RHL22" s="2"/>
      <c r="RHM22" s="2"/>
      <c r="RHN22" s="2"/>
      <c r="RHO22" s="2"/>
      <c r="RHP22" s="2"/>
      <c r="RHQ22" s="2"/>
      <c r="RHR22" s="2"/>
      <c r="RHS22" s="2"/>
      <c r="RHT22" s="2"/>
      <c r="RHU22" s="2"/>
      <c r="RHV22" s="2"/>
      <c r="RHW22" s="2"/>
      <c r="RHX22" s="2"/>
      <c r="RHY22" s="2"/>
      <c r="RHZ22" s="2"/>
      <c r="RIA22" s="2"/>
      <c r="RIB22" s="2"/>
      <c r="RIC22" s="2"/>
      <c r="RID22" s="2"/>
      <c r="RIE22" s="2"/>
      <c r="RIF22" s="2"/>
      <c r="RIG22" s="2"/>
      <c r="RIH22" s="2"/>
      <c r="RII22" s="2"/>
      <c r="RIJ22" s="2"/>
      <c r="RIK22" s="2"/>
      <c r="RIL22" s="2"/>
      <c r="RIM22" s="2"/>
      <c r="RIN22" s="2"/>
      <c r="RIO22" s="2"/>
      <c r="RIP22" s="2"/>
      <c r="RIQ22" s="2"/>
      <c r="RIR22" s="2"/>
      <c r="RIS22" s="2"/>
      <c r="RIT22" s="2"/>
      <c r="RIU22" s="2"/>
      <c r="RIV22" s="2"/>
      <c r="RIW22" s="2"/>
      <c r="RIX22" s="2"/>
      <c r="RIY22" s="2"/>
      <c r="RIZ22" s="2"/>
      <c r="RJA22" s="2"/>
      <c r="RJB22" s="2"/>
      <c r="RJC22" s="2"/>
      <c r="RJD22" s="2"/>
      <c r="RJE22" s="2"/>
      <c r="RJF22" s="2"/>
      <c r="RJG22" s="2"/>
      <c r="RJH22" s="2"/>
      <c r="RJI22" s="2"/>
      <c r="RJJ22" s="2"/>
      <c r="RJK22" s="2"/>
      <c r="RJL22" s="2"/>
      <c r="RJM22" s="2"/>
      <c r="RJN22" s="2"/>
      <c r="RJO22" s="2"/>
      <c r="RJP22" s="2"/>
      <c r="RJQ22" s="2"/>
      <c r="RJR22" s="2"/>
      <c r="RJS22" s="2"/>
      <c r="RJT22" s="2"/>
      <c r="RJU22" s="2"/>
      <c r="RJV22" s="2"/>
      <c r="RJW22" s="2"/>
      <c r="RJX22" s="2"/>
      <c r="RJY22" s="2"/>
      <c r="RJZ22" s="2"/>
      <c r="RKA22" s="2"/>
      <c r="RKB22" s="2"/>
      <c r="RKC22" s="2"/>
      <c r="RKD22" s="2"/>
      <c r="RKE22" s="2"/>
      <c r="RKF22" s="2"/>
      <c r="RKG22" s="2"/>
      <c r="RKH22" s="2"/>
      <c r="RKI22" s="2"/>
      <c r="RKJ22" s="2"/>
      <c r="RKK22" s="2"/>
      <c r="RKL22" s="2"/>
      <c r="RKM22" s="2"/>
      <c r="RKN22" s="2"/>
      <c r="RKO22" s="2"/>
      <c r="RKP22" s="2"/>
      <c r="RKQ22" s="2"/>
      <c r="RKR22" s="2"/>
      <c r="RKS22" s="2"/>
      <c r="RKT22" s="2"/>
      <c r="RKU22" s="2"/>
      <c r="RKV22" s="2"/>
      <c r="RKW22" s="2"/>
      <c r="RKX22" s="2"/>
      <c r="RKY22" s="2"/>
      <c r="RKZ22" s="2"/>
      <c r="RLA22" s="2"/>
      <c r="RLB22" s="2"/>
      <c r="RLC22" s="2"/>
      <c r="RLD22" s="2"/>
      <c r="RLE22" s="2"/>
      <c r="RLF22" s="2"/>
      <c r="RLG22" s="2"/>
      <c r="RLH22" s="2"/>
      <c r="RLI22" s="2"/>
      <c r="RLJ22" s="2"/>
      <c r="RLK22" s="2"/>
      <c r="RLL22" s="2"/>
      <c r="RLM22" s="2"/>
      <c r="RLN22" s="2"/>
      <c r="RLO22" s="2"/>
      <c r="RLP22" s="2"/>
      <c r="RLQ22" s="2"/>
      <c r="RLR22" s="2"/>
      <c r="RLS22" s="2"/>
      <c r="RLT22" s="2"/>
      <c r="RLU22" s="2"/>
      <c r="RLV22" s="2"/>
      <c r="RLW22" s="2"/>
      <c r="RLX22" s="2"/>
      <c r="RLY22" s="2"/>
      <c r="RLZ22" s="2"/>
      <c r="RMA22" s="2"/>
      <c r="RMB22" s="2"/>
      <c r="RMC22" s="2"/>
      <c r="RMD22" s="2"/>
      <c r="RME22" s="2"/>
      <c r="RMF22" s="2"/>
      <c r="RMG22" s="2"/>
      <c r="RMH22" s="2"/>
      <c r="RMI22" s="2"/>
      <c r="RMJ22" s="2"/>
      <c r="RMK22" s="2"/>
      <c r="RML22" s="2"/>
      <c r="RMM22" s="2"/>
      <c r="RMN22" s="2"/>
      <c r="RMO22" s="2"/>
      <c r="RMP22" s="2"/>
      <c r="RMQ22" s="2"/>
      <c r="RMR22" s="2"/>
      <c r="RMS22" s="2"/>
      <c r="RMT22" s="2"/>
      <c r="RMU22" s="2"/>
      <c r="RMV22" s="2"/>
      <c r="RMW22" s="2"/>
      <c r="RMX22" s="2"/>
      <c r="RMY22" s="2"/>
      <c r="RMZ22" s="2"/>
      <c r="RNA22" s="2"/>
      <c r="RNB22" s="2"/>
      <c r="RNC22" s="2"/>
      <c r="RND22" s="2"/>
      <c r="RNE22" s="2"/>
      <c r="RNF22" s="2"/>
      <c r="RNG22" s="2"/>
      <c r="RNH22" s="2"/>
      <c r="RNI22" s="2"/>
      <c r="RNJ22" s="2"/>
      <c r="RNK22" s="2"/>
      <c r="RNL22" s="2"/>
      <c r="RNM22" s="2"/>
      <c r="RNN22" s="2"/>
      <c r="RNO22" s="2"/>
      <c r="RNP22" s="2"/>
      <c r="RNQ22" s="2"/>
      <c r="RNR22" s="2"/>
      <c r="RNS22" s="2"/>
      <c r="RNT22" s="2"/>
      <c r="RNU22" s="2"/>
      <c r="RNV22" s="2"/>
      <c r="RNW22" s="2"/>
      <c r="RNX22" s="2"/>
      <c r="RNY22" s="2"/>
      <c r="RNZ22" s="2"/>
      <c r="ROA22" s="2"/>
      <c r="ROB22" s="2"/>
      <c r="ROC22" s="2"/>
      <c r="ROD22" s="2"/>
      <c r="ROE22" s="2"/>
      <c r="ROF22" s="2"/>
      <c r="ROG22" s="2"/>
      <c r="ROH22" s="2"/>
      <c r="ROI22" s="2"/>
      <c r="ROJ22" s="2"/>
      <c r="ROK22" s="2"/>
      <c r="ROL22" s="2"/>
      <c r="ROM22" s="2"/>
      <c r="RON22" s="2"/>
      <c r="ROO22" s="2"/>
      <c r="ROP22" s="2"/>
      <c r="ROQ22" s="2"/>
      <c r="ROR22" s="2"/>
      <c r="ROS22" s="2"/>
      <c r="ROT22" s="2"/>
      <c r="ROU22" s="2"/>
      <c r="ROV22" s="2"/>
      <c r="ROW22" s="2"/>
      <c r="ROX22" s="2"/>
      <c r="ROY22" s="2"/>
      <c r="ROZ22" s="2"/>
      <c r="RPA22" s="2"/>
      <c r="RPB22" s="2"/>
      <c r="RPC22" s="2"/>
      <c r="RPD22" s="2"/>
      <c r="RPE22" s="2"/>
      <c r="RPF22" s="2"/>
      <c r="RPG22" s="2"/>
      <c r="RPH22" s="2"/>
      <c r="RPI22" s="2"/>
      <c r="RPJ22" s="2"/>
      <c r="RPK22" s="2"/>
      <c r="RPL22" s="2"/>
      <c r="RPM22" s="2"/>
      <c r="RPN22" s="2"/>
      <c r="RPO22" s="2"/>
      <c r="RPP22" s="2"/>
      <c r="RPQ22" s="2"/>
      <c r="RPR22" s="2"/>
      <c r="RPS22" s="2"/>
      <c r="RPT22" s="2"/>
      <c r="RPU22" s="2"/>
      <c r="RPV22" s="2"/>
      <c r="RPW22" s="2"/>
      <c r="RPX22" s="2"/>
      <c r="RPY22" s="2"/>
      <c r="RPZ22" s="2"/>
      <c r="RQA22" s="2"/>
      <c r="RQB22" s="2"/>
      <c r="RQC22" s="2"/>
      <c r="RQD22" s="2"/>
      <c r="RQE22" s="2"/>
      <c r="RQF22" s="2"/>
      <c r="RQG22" s="2"/>
      <c r="RQH22" s="2"/>
      <c r="RQI22" s="2"/>
      <c r="RQJ22" s="2"/>
      <c r="RQK22" s="2"/>
      <c r="RQL22" s="2"/>
      <c r="RQM22" s="2"/>
      <c r="RQN22" s="2"/>
      <c r="RQO22" s="2"/>
      <c r="RQP22" s="2"/>
      <c r="RQQ22" s="2"/>
      <c r="RQR22" s="2"/>
      <c r="RQS22" s="2"/>
      <c r="RQT22" s="2"/>
      <c r="RQU22" s="2"/>
      <c r="RQV22" s="2"/>
      <c r="RQW22" s="2"/>
      <c r="RQX22" s="2"/>
      <c r="RQY22" s="2"/>
      <c r="RQZ22" s="2"/>
      <c r="RRA22" s="2"/>
      <c r="RRB22" s="2"/>
      <c r="RRC22" s="2"/>
      <c r="RRD22" s="2"/>
      <c r="RRE22" s="2"/>
      <c r="RRF22" s="2"/>
      <c r="RRG22" s="2"/>
      <c r="RRH22" s="2"/>
      <c r="RRI22" s="2"/>
      <c r="RRJ22" s="2"/>
      <c r="RRK22" s="2"/>
      <c r="RRL22" s="2"/>
      <c r="RRM22" s="2"/>
      <c r="RRN22" s="2"/>
      <c r="RRO22" s="2"/>
      <c r="RRP22" s="2"/>
      <c r="RRQ22" s="2"/>
      <c r="RRR22" s="2"/>
      <c r="RRS22" s="2"/>
      <c r="RRT22" s="2"/>
      <c r="RRU22" s="2"/>
      <c r="RRV22" s="2"/>
      <c r="RRW22" s="2"/>
      <c r="RRX22" s="2"/>
      <c r="RRY22" s="2"/>
      <c r="RRZ22" s="2"/>
      <c r="RSA22" s="2"/>
      <c r="RSB22" s="2"/>
      <c r="RSC22" s="2"/>
      <c r="RSD22" s="2"/>
      <c r="RSE22" s="2"/>
      <c r="RSF22" s="2"/>
      <c r="RSG22" s="2"/>
      <c r="RSH22" s="2"/>
      <c r="RSI22" s="2"/>
      <c r="RSJ22" s="2"/>
      <c r="RSK22" s="2"/>
      <c r="RSL22" s="2"/>
      <c r="RSM22" s="2"/>
      <c r="RSN22" s="2"/>
      <c r="RSO22" s="2"/>
      <c r="RSP22" s="2"/>
      <c r="RSQ22" s="2"/>
      <c r="RSR22" s="2"/>
      <c r="RSS22" s="2"/>
      <c r="RST22" s="2"/>
      <c r="RSU22" s="2"/>
      <c r="RSV22" s="2"/>
      <c r="RSW22" s="2"/>
      <c r="RSX22" s="2"/>
      <c r="RSY22" s="2"/>
      <c r="RSZ22" s="2"/>
      <c r="RTA22" s="2"/>
      <c r="RTB22" s="2"/>
      <c r="RTC22" s="2"/>
      <c r="RTD22" s="2"/>
      <c r="RTE22" s="2"/>
      <c r="RTF22" s="2"/>
      <c r="RTG22" s="2"/>
      <c r="RTH22" s="2"/>
      <c r="RTI22" s="2"/>
      <c r="RTJ22" s="2"/>
      <c r="RTK22" s="2"/>
      <c r="RTL22" s="2"/>
      <c r="RTM22" s="2"/>
      <c r="RTN22" s="2"/>
      <c r="RTO22" s="2"/>
      <c r="RTP22" s="2"/>
      <c r="RTQ22" s="2"/>
      <c r="RTR22" s="2"/>
      <c r="RTS22" s="2"/>
      <c r="RTT22" s="2"/>
      <c r="RTU22" s="2"/>
      <c r="RTV22" s="2"/>
      <c r="RTW22" s="2"/>
      <c r="RTX22" s="2"/>
      <c r="RTY22" s="2"/>
      <c r="RTZ22" s="2"/>
      <c r="RUA22" s="2"/>
      <c r="RUB22" s="2"/>
      <c r="RUC22" s="2"/>
      <c r="RUD22" s="2"/>
      <c r="RUE22" s="2"/>
      <c r="RUF22" s="2"/>
      <c r="RUG22" s="2"/>
      <c r="RUH22" s="2"/>
      <c r="RUI22" s="2"/>
      <c r="RUJ22" s="2"/>
      <c r="RUK22" s="2"/>
      <c r="RUL22" s="2"/>
      <c r="RUM22" s="2"/>
      <c r="RUN22" s="2"/>
      <c r="RUO22" s="2"/>
      <c r="RUP22" s="2"/>
      <c r="RUQ22" s="2"/>
      <c r="RUR22" s="2"/>
      <c r="RUS22" s="2"/>
      <c r="RUT22" s="2"/>
      <c r="RUU22" s="2"/>
      <c r="RUV22" s="2"/>
      <c r="RUW22" s="2"/>
      <c r="RUX22" s="2"/>
      <c r="RUY22" s="2"/>
      <c r="RUZ22" s="2"/>
      <c r="RVA22" s="2"/>
      <c r="RVB22" s="2"/>
      <c r="RVC22" s="2"/>
      <c r="RVD22" s="2"/>
      <c r="RVE22" s="2"/>
      <c r="RVF22" s="2"/>
      <c r="RVG22" s="2"/>
      <c r="RVH22" s="2"/>
      <c r="RVI22" s="2"/>
      <c r="RVJ22" s="2"/>
      <c r="RVK22" s="2"/>
      <c r="RVL22" s="2"/>
      <c r="RVM22" s="2"/>
      <c r="RVN22" s="2"/>
      <c r="RVO22" s="2"/>
      <c r="RVP22" s="2"/>
      <c r="RVQ22" s="2"/>
      <c r="RVR22" s="2"/>
      <c r="RVS22" s="2"/>
      <c r="RVT22" s="2"/>
      <c r="RVU22" s="2"/>
      <c r="RVV22" s="2"/>
      <c r="RVW22" s="2"/>
      <c r="RVX22" s="2"/>
      <c r="RVY22" s="2"/>
      <c r="RVZ22" s="2"/>
      <c r="RWA22" s="2"/>
      <c r="RWB22" s="2"/>
      <c r="RWC22" s="2"/>
      <c r="RWD22" s="2"/>
      <c r="RWE22" s="2"/>
      <c r="RWF22" s="2"/>
      <c r="RWG22" s="2"/>
      <c r="RWH22" s="2"/>
      <c r="RWI22" s="2"/>
      <c r="RWJ22" s="2"/>
      <c r="RWK22" s="2"/>
      <c r="RWL22" s="2"/>
      <c r="RWM22" s="2"/>
      <c r="RWN22" s="2"/>
      <c r="RWO22" s="2"/>
      <c r="RWP22" s="2"/>
      <c r="RWQ22" s="2"/>
      <c r="RWR22" s="2"/>
      <c r="RWS22" s="2"/>
      <c r="RWT22" s="2"/>
      <c r="RWU22" s="2"/>
      <c r="RWV22" s="2"/>
      <c r="RWW22" s="2"/>
      <c r="RWX22" s="2"/>
      <c r="RWY22" s="2"/>
      <c r="RWZ22" s="2"/>
      <c r="RXA22" s="2"/>
      <c r="RXB22" s="2"/>
      <c r="RXC22" s="2"/>
      <c r="RXD22" s="2"/>
      <c r="RXE22" s="2"/>
      <c r="RXF22" s="2"/>
      <c r="RXG22" s="2"/>
      <c r="RXH22" s="2"/>
      <c r="RXI22" s="2"/>
      <c r="RXJ22" s="2"/>
      <c r="RXK22" s="2"/>
      <c r="RXL22" s="2"/>
      <c r="RXM22" s="2"/>
      <c r="RXN22" s="2"/>
      <c r="RXO22" s="2"/>
      <c r="RXP22" s="2"/>
      <c r="RXQ22" s="2"/>
      <c r="RXR22" s="2"/>
      <c r="RXS22" s="2"/>
      <c r="RXT22" s="2"/>
      <c r="RXU22" s="2"/>
      <c r="RXV22" s="2"/>
      <c r="RXW22" s="2"/>
      <c r="RXX22" s="2"/>
      <c r="RXY22" s="2"/>
      <c r="RXZ22" s="2"/>
      <c r="RYA22" s="2"/>
      <c r="RYB22" s="2"/>
      <c r="RYC22" s="2"/>
      <c r="RYD22" s="2"/>
      <c r="RYE22" s="2"/>
      <c r="RYF22" s="2"/>
      <c r="RYG22" s="2"/>
      <c r="RYH22" s="2"/>
      <c r="RYI22" s="2"/>
      <c r="RYJ22" s="2"/>
      <c r="RYK22" s="2"/>
      <c r="RYL22" s="2"/>
      <c r="RYM22" s="2"/>
      <c r="RYN22" s="2"/>
      <c r="RYO22" s="2"/>
      <c r="RYP22" s="2"/>
      <c r="RYQ22" s="2"/>
      <c r="RYR22" s="2"/>
      <c r="RYS22" s="2"/>
      <c r="RYT22" s="2"/>
      <c r="RYU22" s="2"/>
      <c r="RYV22" s="2"/>
      <c r="RYW22" s="2"/>
      <c r="RYX22" s="2"/>
      <c r="RYY22" s="2"/>
      <c r="RYZ22" s="2"/>
      <c r="RZA22" s="2"/>
      <c r="RZB22" s="2"/>
      <c r="RZC22" s="2"/>
      <c r="RZD22" s="2"/>
      <c r="RZE22" s="2"/>
      <c r="RZF22" s="2"/>
      <c r="RZG22" s="2"/>
      <c r="RZH22" s="2"/>
      <c r="RZI22" s="2"/>
      <c r="RZJ22" s="2"/>
      <c r="RZK22" s="2"/>
      <c r="RZL22" s="2"/>
      <c r="RZM22" s="2"/>
      <c r="RZN22" s="2"/>
      <c r="RZO22" s="2"/>
      <c r="RZP22" s="2"/>
      <c r="RZQ22" s="2"/>
      <c r="RZR22" s="2"/>
      <c r="RZS22" s="2"/>
      <c r="RZT22" s="2"/>
      <c r="RZU22" s="2"/>
      <c r="RZV22" s="2"/>
      <c r="RZW22" s="2"/>
      <c r="RZX22" s="2"/>
      <c r="RZY22" s="2"/>
      <c r="RZZ22" s="2"/>
      <c r="SAA22" s="2"/>
      <c r="SAB22" s="2"/>
      <c r="SAC22" s="2"/>
      <c r="SAD22" s="2"/>
      <c r="SAE22" s="2"/>
      <c r="SAF22" s="2"/>
      <c r="SAG22" s="2"/>
      <c r="SAH22" s="2"/>
      <c r="SAI22" s="2"/>
      <c r="SAJ22" s="2"/>
      <c r="SAK22" s="2"/>
      <c r="SAL22" s="2"/>
      <c r="SAM22" s="2"/>
      <c r="SAN22" s="2"/>
      <c r="SAO22" s="2"/>
      <c r="SAP22" s="2"/>
      <c r="SAQ22" s="2"/>
      <c r="SAR22" s="2"/>
      <c r="SAS22" s="2"/>
      <c r="SAT22" s="2"/>
      <c r="SAU22" s="2"/>
      <c r="SAV22" s="2"/>
      <c r="SAW22" s="2"/>
      <c r="SAX22" s="2"/>
      <c r="SAY22" s="2"/>
      <c r="SAZ22" s="2"/>
      <c r="SBA22" s="2"/>
      <c r="SBB22" s="2"/>
      <c r="SBC22" s="2"/>
      <c r="SBD22" s="2"/>
      <c r="SBE22" s="2"/>
      <c r="SBF22" s="2"/>
      <c r="SBG22" s="2"/>
      <c r="SBH22" s="2"/>
      <c r="SBI22" s="2"/>
      <c r="SBJ22" s="2"/>
      <c r="SBK22" s="2"/>
      <c r="SBL22" s="2"/>
      <c r="SBM22" s="2"/>
      <c r="SBN22" s="2"/>
      <c r="SBO22" s="2"/>
      <c r="SBP22" s="2"/>
      <c r="SBQ22" s="2"/>
      <c r="SBR22" s="2"/>
      <c r="SBS22" s="2"/>
      <c r="SBT22" s="2"/>
      <c r="SBU22" s="2"/>
      <c r="SBV22" s="2"/>
      <c r="SBW22" s="2"/>
      <c r="SBX22" s="2"/>
      <c r="SBY22" s="2"/>
      <c r="SBZ22" s="2"/>
      <c r="SCA22" s="2"/>
      <c r="SCB22" s="2"/>
      <c r="SCC22" s="2"/>
      <c r="SCD22" s="2"/>
      <c r="SCE22" s="2"/>
      <c r="SCF22" s="2"/>
      <c r="SCG22" s="2"/>
      <c r="SCH22" s="2"/>
      <c r="SCI22" s="2"/>
      <c r="SCJ22" s="2"/>
      <c r="SCK22" s="2"/>
      <c r="SCL22" s="2"/>
      <c r="SCM22" s="2"/>
      <c r="SCN22" s="2"/>
      <c r="SCO22" s="2"/>
      <c r="SCP22" s="2"/>
      <c r="SCQ22" s="2"/>
      <c r="SCR22" s="2"/>
      <c r="SCS22" s="2"/>
      <c r="SCT22" s="2"/>
      <c r="SCU22" s="2"/>
      <c r="SCV22" s="2"/>
      <c r="SCW22" s="2"/>
      <c r="SCX22" s="2"/>
      <c r="SCY22" s="2"/>
      <c r="SCZ22" s="2"/>
      <c r="SDA22" s="2"/>
      <c r="SDB22" s="2"/>
      <c r="SDC22" s="2"/>
      <c r="SDD22" s="2"/>
      <c r="SDE22" s="2"/>
      <c r="SDF22" s="2"/>
      <c r="SDG22" s="2"/>
      <c r="SDH22" s="2"/>
      <c r="SDI22" s="2"/>
      <c r="SDJ22" s="2"/>
      <c r="SDK22" s="2"/>
      <c r="SDL22" s="2"/>
      <c r="SDM22" s="2"/>
      <c r="SDN22" s="2"/>
      <c r="SDO22" s="2"/>
      <c r="SDP22" s="2"/>
      <c r="SDQ22" s="2"/>
      <c r="SDR22" s="2"/>
      <c r="SDS22" s="2"/>
      <c r="SDT22" s="2"/>
      <c r="SDU22" s="2"/>
      <c r="SDV22" s="2"/>
      <c r="SDW22" s="2"/>
      <c r="SDX22" s="2"/>
      <c r="SDY22" s="2"/>
      <c r="SDZ22" s="2"/>
      <c r="SEA22" s="2"/>
      <c r="SEB22" s="2"/>
      <c r="SEC22" s="2"/>
      <c r="SED22" s="2"/>
      <c r="SEE22" s="2"/>
      <c r="SEF22" s="2"/>
      <c r="SEG22" s="2"/>
      <c r="SEH22" s="2"/>
      <c r="SEI22" s="2"/>
      <c r="SEJ22" s="2"/>
      <c r="SEK22" s="2"/>
      <c r="SEL22" s="2"/>
      <c r="SEM22" s="2"/>
      <c r="SEN22" s="2"/>
      <c r="SEO22" s="2"/>
      <c r="SEP22" s="2"/>
      <c r="SEQ22" s="2"/>
      <c r="SER22" s="2"/>
      <c r="SES22" s="2"/>
      <c r="SET22" s="2"/>
      <c r="SEU22" s="2"/>
      <c r="SEV22" s="2"/>
      <c r="SEW22" s="2"/>
      <c r="SEX22" s="2"/>
      <c r="SEY22" s="2"/>
      <c r="SEZ22" s="2"/>
      <c r="SFA22" s="2"/>
      <c r="SFB22" s="2"/>
      <c r="SFC22" s="2"/>
      <c r="SFD22" s="2"/>
      <c r="SFE22" s="2"/>
      <c r="SFF22" s="2"/>
      <c r="SFG22" s="2"/>
      <c r="SFH22" s="2"/>
      <c r="SFI22" s="2"/>
      <c r="SFJ22" s="2"/>
      <c r="SFK22" s="2"/>
      <c r="SFL22" s="2"/>
      <c r="SFM22" s="2"/>
      <c r="SFN22" s="2"/>
      <c r="SFO22" s="2"/>
      <c r="SFP22" s="2"/>
      <c r="SFQ22" s="2"/>
      <c r="SFR22" s="2"/>
      <c r="SFS22" s="2"/>
      <c r="SFT22" s="2"/>
      <c r="SFU22" s="2"/>
      <c r="SFV22" s="2"/>
      <c r="SFW22" s="2"/>
      <c r="SFX22" s="2"/>
      <c r="SFY22" s="2"/>
      <c r="SFZ22" s="2"/>
      <c r="SGA22" s="2"/>
      <c r="SGB22" s="2"/>
      <c r="SGC22" s="2"/>
      <c r="SGD22" s="2"/>
      <c r="SGE22" s="2"/>
      <c r="SGF22" s="2"/>
      <c r="SGG22" s="2"/>
      <c r="SGH22" s="2"/>
      <c r="SGI22" s="2"/>
      <c r="SGJ22" s="2"/>
      <c r="SGK22" s="2"/>
      <c r="SGL22" s="2"/>
      <c r="SGM22" s="2"/>
      <c r="SGN22" s="2"/>
      <c r="SGO22" s="2"/>
      <c r="SGP22" s="2"/>
      <c r="SGQ22" s="2"/>
      <c r="SGR22" s="2"/>
      <c r="SGS22" s="2"/>
      <c r="SGT22" s="2"/>
      <c r="SGU22" s="2"/>
      <c r="SGV22" s="2"/>
      <c r="SGW22" s="2"/>
      <c r="SGX22" s="2"/>
      <c r="SGY22" s="2"/>
      <c r="SGZ22" s="2"/>
      <c r="SHA22" s="2"/>
      <c r="SHB22" s="2"/>
      <c r="SHC22" s="2"/>
      <c r="SHD22" s="2"/>
      <c r="SHE22" s="2"/>
      <c r="SHF22" s="2"/>
      <c r="SHG22" s="2"/>
      <c r="SHH22" s="2"/>
      <c r="SHI22" s="2"/>
      <c r="SHJ22" s="2"/>
      <c r="SHK22" s="2"/>
      <c r="SHL22" s="2"/>
      <c r="SHM22" s="2"/>
      <c r="SHN22" s="2"/>
      <c r="SHO22" s="2"/>
      <c r="SHP22" s="2"/>
      <c r="SHQ22" s="2"/>
      <c r="SHR22" s="2"/>
      <c r="SHS22" s="2"/>
      <c r="SHT22" s="2"/>
      <c r="SHU22" s="2"/>
      <c r="SHV22" s="2"/>
      <c r="SHW22" s="2"/>
      <c r="SHX22" s="2"/>
      <c r="SHY22" s="2"/>
      <c r="SHZ22" s="2"/>
      <c r="SIA22" s="2"/>
      <c r="SIB22" s="2"/>
      <c r="SIC22" s="2"/>
      <c r="SID22" s="2"/>
      <c r="SIE22" s="2"/>
      <c r="SIF22" s="2"/>
      <c r="SIG22" s="2"/>
      <c r="SIH22" s="2"/>
      <c r="SII22" s="2"/>
      <c r="SIJ22" s="2"/>
      <c r="SIK22" s="2"/>
      <c r="SIL22" s="2"/>
      <c r="SIM22" s="2"/>
      <c r="SIN22" s="2"/>
      <c r="SIO22" s="2"/>
      <c r="SIP22" s="2"/>
      <c r="SIQ22" s="2"/>
      <c r="SIR22" s="2"/>
      <c r="SIS22" s="2"/>
      <c r="SIT22" s="2"/>
      <c r="SIU22" s="2"/>
      <c r="SIV22" s="2"/>
      <c r="SIW22" s="2"/>
      <c r="SIX22" s="2"/>
      <c r="SIY22" s="2"/>
      <c r="SIZ22" s="2"/>
      <c r="SJA22" s="2"/>
      <c r="SJB22" s="2"/>
      <c r="SJC22" s="2"/>
      <c r="SJD22" s="2"/>
      <c r="SJE22" s="2"/>
      <c r="SJF22" s="2"/>
      <c r="SJG22" s="2"/>
      <c r="SJH22" s="2"/>
      <c r="SJI22" s="2"/>
      <c r="SJJ22" s="2"/>
      <c r="SJK22" s="2"/>
      <c r="SJL22" s="2"/>
      <c r="SJM22" s="2"/>
      <c r="SJN22" s="2"/>
      <c r="SJO22" s="2"/>
      <c r="SJP22" s="2"/>
      <c r="SJQ22" s="2"/>
      <c r="SJR22" s="2"/>
      <c r="SJS22" s="2"/>
      <c r="SJT22" s="2"/>
      <c r="SJU22" s="2"/>
      <c r="SJV22" s="2"/>
      <c r="SJW22" s="2"/>
      <c r="SJX22" s="2"/>
      <c r="SJY22" s="2"/>
      <c r="SJZ22" s="2"/>
      <c r="SKA22" s="2"/>
      <c r="SKB22" s="2"/>
      <c r="SKC22" s="2"/>
      <c r="SKD22" s="2"/>
      <c r="SKE22" s="2"/>
      <c r="SKF22" s="2"/>
      <c r="SKG22" s="2"/>
      <c r="SKH22" s="2"/>
      <c r="SKI22" s="2"/>
      <c r="SKJ22" s="2"/>
      <c r="SKK22" s="2"/>
      <c r="SKL22" s="2"/>
      <c r="SKM22" s="2"/>
      <c r="SKN22" s="2"/>
      <c r="SKO22" s="2"/>
      <c r="SKP22" s="2"/>
      <c r="SKQ22" s="2"/>
      <c r="SKR22" s="2"/>
      <c r="SKS22" s="2"/>
      <c r="SKT22" s="2"/>
      <c r="SKU22" s="2"/>
      <c r="SKV22" s="2"/>
      <c r="SKW22" s="2"/>
      <c r="SKX22" s="2"/>
      <c r="SKY22" s="2"/>
      <c r="SKZ22" s="2"/>
      <c r="SLA22" s="2"/>
      <c r="SLB22" s="2"/>
      <c r="SLC22" s="2"/>
      <c r="SLD22" s="2"/>
      <c r="SLE22" s="2"/>
      <c r="SLF22" s="2"/>
      <c r="SLG22" s="2"/>
      <c r="SLH22" s="2"/>
      <c r="SLI22" s="2"/>
      <c r="SLJ22" s="2"/>
      <c r="SLK22" s="2"/>
      <c r="SLL22" s="2"/>
      <c r="SLM22" s="2"/>
      <c r="SLN22" s="2"/>
      <c r="SLO22" s="2"/>
      <c r="SLP22" s="2"/>
      <c r="SLQ22" s="2"/>
      <c r="SLR22" s="2"/>
      <c r="SLS22" s="2"/>
      <c r="SLT22" s="2"/>
      <c r="SLU22" s="2"/>
      <c r="SLV22" s="2"/>
      <c r="SLW22" s="2"/>
      <c r="SLX22" s="2"/>
      <c r="SLY22" s="2"/>
      <c r="SLZ22" s="2"/>
      <c r="SMA22" s="2"/>
      <c r="SMB22" s="2"/>
      <c r="SMC22" s="2"/>
      <c r="SMD22" s="2"/>
      <c r="SME22" s="2"/>
      <c r="SMF22" s="2"/>
      <c r="SMG22" s="2"/>
      <c r="SMH22" s="2"/>
      <c r="SMI22" s="2"/>
      <c r="SMJ22" s="2"/>
      <c r="SMK22" s="2"/>
      <c r="SML22" s="2"/>
      <c r="SMM22" s="2"/>
      <c r="SMN22" s="2"/>
      <c r="SMO22" s="2"/>
      <c r="SMP22" s="2"/>
      <c r="SMQ22" s="2"/>
      <c r="SMR22" s="2"/>
      <c r="SMS22" s="2"/>
      <c r="SMT22" s="2"/>
      <c r="SMU22" s="2"/>
      <c r="SMV22" s="2"/>
      <c r="SMW22" s="2"/>
      <c r="SMX22" s="2"/>
      <c r="SMY22" s="2"/>
      <c r="SMZ22" s="2"/>
      <c r="SNA22" s="2"/>
      <c r="SNB22" s="2"/>
      <c r="SNC22" s="2"/>
      <c r="SND22" s="2"/>
      <c r="SNE22" s="2"/>
      <c r="SNF22" s="2"/>
      <c r="SNG22" s="2"/>
      <c r="SNH22" s="2"/>
      <c r="SNI22" s="2"/>
      <c r="SNJ22" s="2"/>
      <c r="SNK22" s="2"/>
      <c r="SNL22" s="2"/>
      <c r="SNM22" s="2"/>
      <c r="SNN22" s="2"/>
      <c r="SNO22" s="2"/>
      <c r="SNP22" s="2"/>
      <c r="SNQ22" s="2"/>
      <c r="SNR22" s="2"/>
      <c r="SNS22" s="2"/>
      <c r="SNT22" s="2"/>
      <c r="SNU22" s="2"/>
      <c r="SNV22" s="2"/>
      <c r="SNW22" s="2"/>
      <c r="SNX22" s="2"/>
      <c r="SNY22" s="2"/>
      <c r="SNZ22" s="2"/>
      <c r="SOA22" s="2"/>
      <c r="SOB22" s="2"/>
      <c r="SOC22" s="2"/>
      <c r="SOD22" s="2"/>
      <c r="SOE22" s="2"/>
      <c r="SOF22" s="2"/>
      <c r="SOG22" s="2"/>
      <c r="SOH22" s="2"/>
      <c r="SOI22" s="2"/>
      <c r="SOJ22" s="2"/>
      <c r="SOK22" s="2"/>
      <c r="SOL22" s="2"/>
      <c r="SOM22" s="2"/>
      <c r="SON22" s="2"/>
      <c r="SOO22" s="2"/>
      <c r="SOP22" s="2"/>
      <c r="SOQ22" s="2"/>
      <c r="SOR22" s="2"/>
      <c r="SOS22" s="2"/>
      <c r="SOT22" s="2"/>
      <c r="SOU22" s="2"/>
      <c r="SOV22" s="2"/>
      <c r="SOW22" s="2"/>
      <c r="SOX22" s="2"/>
      <c r="SOY22" s="2"/>
      <c r="SOZ22" s="2"/>
      <c r="SPA22" s="2"/>
      <c r="SPB22" s="2"/>
      <c r="SPC22" s="2"/>
      <c r="SPD22" s="2"/>
      <c r="SPE22" s="2"/>
      <c r="SPF22" s="2"/>
      <c r="SPG22" s="2"/>
      <c r="SPH22" s="2"/>
      <c r="SPI22" s="2"/>
      <c r="SPJ22" s="2"/>
      <c r="SPK22" s="2"/>
      <c r="SPL22" s="2"/>
      <c r="SPM22" s="2"/>
      <c r="SPN22" s="2"/>
      <c r="SPO22" s="2"/>
      <c r="SPP22" s="2"/>
      <c r="SPQ22" s="2"/>
      <c r="SPR22" s="2"/>
      <c r="SPS22" s="2"/>
      <c r="SPT22" s="2"/>
      <c r="SPU22" s="2"/>
      <c r="SPV22" s="2"/>
      <c r="SPW22" s="2"/>
      <c r="SPX22" s="2"/>
      <c r="SPY22" s="2"/>
      <c r="SPZ22" s="2"/>
      <c r="SQA22" s="2"/>
      <c r="SQB22" s="2"/>
      <c r="SQC22" s="2"/>
      <c r="SQD22" s="2"/>
      <c r="SQE22" s="2"/>
      <c r="SQF22" s="2"/>
      <c r="SQG22" s="2"/>
      <c r="SQH22" s="2"/>
      <c r="SQI22" s="2"/>
      <c r="SQJ22" s="2"/>
      <c r="SQK22" s="2"/>
      <c r="SQL22" s="2"/>
      <c r="SQM22" s="2"/>
      <c r="SQN22" s="2"/>
      <c r="SQO22" s="2"/>
      <c r="SQP22" s="2"/>
      <c r="SQQ22" s="2"/>
      <c r="SQR22" s="2"/>
      <c r="SQS22" s="2"/>
      <c r="SQT22" s="2"/>
      <c r="SQU22" s="2"/>
      <c r="SQV22" s="2"/>
      <c r="SQW22" s="2"/>
      <c r="SQX22" s="2"/>
      <c r="SQY22" s="2"/>
      <c r="SQZ22" s="2"/>
      <c r="SRA22" s="2"/>
      <c r="SRB22" s="2"/>
      <c r="SRC22" s="2"/>
      <c r="SRD22" s="2"/>
      <c r="SRE22" s="2"/>
      <c r="SRF22" s="2"/>
      <c r="SRG22" s="2"/>
      <c r="SRH22" s="2"/>
      <c r="SRI22" s="2"/>
      <c r="SRJ22" s="2"/>
      <c r="SRK22" s="2"/>
      <c r="SRL22" s="2"/>
      <c r="SRM22" s="2"/>
      <c r="SRN22" s="2"/>
      <c r="SRO22" s="2"/>
      <c r="SRP22" s="2"/>
      <c r="SRQ22" s="2"/>
      <c r="SRR22" s="2"/>
      <c r="SRS22" s="2"/>
      <c r="SRT22" s="2"/>
      <c r="SRU22" s="2"/>
      <c r="SRV22" s="2"/>
      <c r="SRW22" s="2"/>
      <c r="SRX22" s="2"/>
      <c r="SRY22" s="2"/>
      <c r="SRZ22" s="2"/>
      <c r="SSA22" s="2"/>
      <c r="SSB22" s="2"/>
      <c r="SSC22" s="2"/>
      <c r="SSD22" s="2"/>
      <c r="SSE22" s="2"/>
      <c r="SSF22" s="2"/>
      <c r="SSG22" s="2"/>
      <c r="SSH22" s="2"/>
      <c r="SSI22" s="2"/>
      <c r="SSJ22" s="2"/>
      <c r="SSK22" s="2"/>
      <c r="SSL22" s="2"/>
      <c r="SSM22" s="2"/>
      <c r="SSN22" s="2"/>
      <c r="SSO22" s="2"/>
      <c r="SSP22" s="2"/>
      <c r="SSQ22" s="2"/>
      <c r="SSR22" s="2"/>
      <c r="SSS22" s="2"/>
      <c r="SST22" s="2"/>
      <c r="SSU22" s="2"/>
      <c r="SSV22" s="2"/>
      <c r="SSW22" s="2"/>
      <c r="SSX22" s="2"/>
      <c r="SSY22" s="2"/>
      <c r="SSZ22" s="2"/>
      <c r="STA22" s="2"/>
      <c r="STB22" s="2"/>
      <c r="STC22" s="2"/>
      <c r="STD22" s="2"/>
      <c r="STE22" s="2"/>
      <c r="STF22" s="2"/>
      <c r="STG22" s="2"/>
      <c r="STH22" s="2"/>
      <c r="STI22" s="2"/>
      <c r="STJ22" s="2"/>
      <c r="STK22" s="2"/>
      <c r="STL22" s="2"/>
      <c r="STM22" s="2"/>
      <c r="STN22" s="2"/>
      <c r="STO22" s="2"/>
      <c r="STP22" s="2"/>
      <c r="STQ22" s="2"/>
      <c r="STR22" s="2"/>
      <c r="STS22" s="2"/>
      <c r="STT22" s="2"/>
      <c r="STU22" s="2"/>
      <c r="STV22" s="2"/>
      <c r="STW22" s="2"/>
      <c r="STX22" s="2"/>
      <c r="STY22" s="2"/>
      <c r="STZ22" s="2"/>
      <c r="SUA22" s="2"/>
      <c r="SUB22" s="2"/>
      <c r="SUC22" s="2"/>
      <c r="SUD22" s="2"/>
      <c r="SUE22" s="2"/>
      <c r="SUF22" s="2"/>
      <c r="SUG22" s="2"/>
      <c r="SUH22" s="2"/>
      <c r="SUI22" s="2"/>
      <c r="SUJ22" s="2"/>
      <c r="SUK22" s="2"/>
      <c r="SUL22" s="2"/>
      <c r="SUM22" s="2"/>
      <c r="SUN22" s="2"/>
      <c r="SUO22" s="2"/>
      <c r="SUP22" s="2"/>
      <c r="SUQ22" s="2"/>
      <c r="SUR22" s="2"/>
      <c r="SUS22" s="2"/>
      <c r="SUT22" s="2"/>
      <c r="SUU22" s="2"/>
      <c r="SUV22" s="2"/>
      <c r="SUW22" s="2"/>
      <c r="SUX22" s="2"/>
      <c r="SUY22" s="2"/>
      <c r="SUZ22" s="2"/>
      <c r="SVA22" s="2"/>
      <c r="SVB22" s="2"/>
      <c r="SVC22" s="2"/>
      <c r="SVD22" s="2"/>
      <c r="SVE22" s="2"/>
      <c r="SVF22" s="2"/>
      <c r="SVG22" s="2"/>
      <c r="SVH22" s="2"/>
      <c r="SVI22" s="2"/>
      <c r="SVJ22" s="2"/>
      <c r="SVK22" s="2"/>
      <c r="SVL22" s="2"/>
      <c r="SVM22" s="2"/>
      <c r="SVN22" s="2"/>
      <c r="SVO22" s="2"/>
      <c r="SVP22" s="2"/>
      <c r="SVQ22" s="2"/>
      <c r="SVR22" s="2"/>
      <c r="SVS22" s="2"/>
      <c r="SVT22" s="2"/>
      <c r="SVU22" s="2"/>
      <c r="SVV22" s="2"/>
      <c r="SVW22" s="2"/>
      <c r="SVX22" s="2"/>
      <c r="SVY22" s="2"/>
      <c r="SVZ22" s="2"/>
      <c r="SWA22" s="2"/>
      <c r="SWB22" s="2"/>
      <c r="SWC22" s="2"/>
      <c r="SWD22" s="2"/>
      <c r="SWE22" s="2"/>
      <c r="SWF22" s="2"/>
      <c r="SWG22" s="2"/>
      <c r="SWH22" s="2"/>
      <c r="SWI22" s="2"/>
      <c r="SWJ22" s="2"/>
      <c r="SWK22" s="2"/>
      <c r="SWL22" s="2"/>
      <c r="SWM22" s="2"/>
      <c r="SWN22" s="2"/>
      <c r="SWO22" s="2"/>
      <c r="SWP22" s="2"/>
      <c r="SWQ22" s="2"/>
      <c r="SWR22" s="2"/>
      <c r="SWS22" s="2"/>
      <c r="SWT22" s="2"/>
      <c r="SWU22" s="2"/>
      <c r="SWV22" s="2"/>
      <c r="SWW22" s="2"/>
      <c r="SWX22" s="2"/>
      <c r="SWY22" s="2"/>
      <c r="SWZ22" s="2"/>
      <c r="SXA22" s="2"/>
      <c r="SXB22" s="2"/>
      <c r="SXC22" s="2"/>
      <c r="SXD22" s="2"/>
      <c r="SXE22" s="2"/>
      <c r="SXF22" s="2"/>
      <c r="SXG22" s="2"/>
      <c r="SXH22" s="2"/>
      <c r="SXI22" s="2"/>
      <c r="SXJ22" s="2"/>
      <c r="SXK22" s="2"/>
      <c r="SXL22" s="2"/>
      <c r="SXM22" s="2"/>
      <c r="SXN22" s="2"/>
      <c r="SXO22" s="2"/>
      <c r="SXP22" s="2"/>
      <c r="SXQ22" s="2"/>
      <c r="SXR22" s="2"/>
      <c r="SXS22" s="2"/>
      <c r="SXT22" s="2"/>
      <c r="SXU22" s="2"/>
      <c r="SXV22" s="2"/>
      <c r="SXW22" s="2"/>
      <c r="SXX22" s="2"/>
      <c r="SXY22" s="2"/>
      <c r="SXZ22" s="2"/>
      <c r="SYA22" s="2"/>
      <c r="SYB22" s="2"/>
      <c r="SYC22" s="2"/>
      <c r="SYD22" s="2"/>
      <c r="SYE22" s="2"/>
      <c r="SYF22" s="2"/>
      <c r="SYG22" s="2"/>
      <c r="SYH22" s="2"/>
      <c r="SYI22" s="2"/>
      <c r="SYJ22" s="2"/>
      <c r="SYK22" s="2"/>
      <c r="SYL22" s="2"/>
      <c r="SYM22" s="2"/>
      <c r="SYN22" s="2"/>
      <c r="SYO22" s="2"/>
      <c r="SYP22" s="2"/>
      <c r="SYQ22" s="2"/>
      <c r="SYR22" s="2"/>
      <c r="SYS22" s="2"/>
      <c r="SYT22" s="2"/>
      <c r="SYU22" s="2"/>
      <c r="SYV22" s="2"/>
      <c r="SYW22" s="2"/>
      <c r="SYX22" s="2"/>
      <c r="SYY22" s="2"/>
      <c r="SYZ22" s="2"/>
      <c r="SZA22" s="2"/>
      <c r="SZB22" s="2"/>
      <c r="SZC22" s="2"/>
      <c r="SZD22" s="2"/>
      <c r="SZE22" s="2"/>
      <c r="SZF22" s="2"/>
      <c r="SZG22" s="2"/>
      <c r="SZH22" s="2"/>
      <c r="SZI22" s="2"/>
      <c r="SZJ22" s="2"/>
      <c r="SZK22" s="2"/>
      <c r="SZL22" s="2"/>
      <c r="SZM22" s="2"/>
      <c r="SZN22" s="2"/>
      <c r="SZO22" s="2"/>
      <c r="SZP22" s="2"/>
      <c r="SZQ22" s="2"/>
      <c r="SZR22" s="2"/>
      <c r="SZS22" s="2"/>
      <c r="SZT22" s="2"/>
      <c r="SZU22" s="2"/>
      <c r="SZV22" s="2"/>
      <c r="SZW22" s="2"/>
      <c r="SZX22" s="2"/>
      <c r="SZY22" s="2"/>
      <c r="SZZ22" s="2"/>
      <c r="TAA22" s="2"/>
      <c r="TAB22" s="2"/>
      <c r="TAC22" s="2"/>
      <c r="TAD22" s="2"/>
      <c r="TAE22" s="2"/>
      <c r="TAF22" s="2"/>
      <c r="TAG22" s="2"/>
      <c r="TAH22" s="2"/>
      <c r="TAI22" s="2"/>
      <c r="TAJ22" s="2"/>
      <c r="TAK22" s="2"/>
      <c r="TAL22" s="2"/>
      <c r="TAM22" s="2"/>
      <c r="TAN22" s="2"/>
      <c r="TAO22" s="2"/>
      <c r="TAP22" s="2"/>
      <c r="TAQ22" s="2"/>
      <c r="TAR22" s="2"/>
      <c r="TAS22" s="2"/>
      <c r="TAT22" s="2"/>
      <c r="TAU22" s="2"/>
      <c r="TAV22" s="2"/>
      <c r="TAW22" s="2"/>
      <c r="TAX22" s="2"/>
      <c r="TAY22" s="2"/>
      <c r="TAZ22" s="2"/>
      <c r="TBA22" s="2"/>
      <c r="TBB22" s="2"/>
      <c r="TBC22" s="2"/>
      <c r="TBD22" s="2"/>
      <c r="TBE22" s="2"/>
      <c r="TBF22" s="2"/>
      <c r="TBG22" s="2"/>
      <c r="TBH22" s="2"/>
      <c r="TBI22" s="2"/>
      <c r="TBJ22" s="2"/>
      <c r="TBK22" s="2"/>
      <c r="TBL22" s="2"/>
      <c r="TBM22" s="2"/>
      <c r="TBN22" s="2"/>
      <c r="TBO22" s="2"/>
      <c r="TBP22" s="2"/>
      <c r="TBQ22" s="2"/>
      <c r="TBR22" s="2"/>
      <c r="TBS22" s="2"/>
      <c r="TBT22" s="2"/>
      <c r="TBU22" s="2"/>
      <c r="TBV22" s="2"/>
      <c r="TBW22" s="2"/>
      <c r="TBX22" s="2"/>
      <c r="TBY22" s="2"/>
      <c r="TBZ22" s="2"/>
      <c r="TCA22" s="2"/>
      <c r="TCB22" s="2"/>
      <c r="TCC22" s="2"/>
      <c r="TCD22" s="2"/>
      <c r="TCE22" s="2"/>
      <c r="TCF22" s="2"/>
      <c r="TCG22" s="2"/>
      <c r="TCH22" s="2"/>
      <c r="TCI22" s="2"/>
      <c r="TCJ22" s="2"/>
      <c r="TCK22" s="2"/>
      <c r="TCL22" s="2"/>
      <c r="TCM22" s="2"/>
      <c r="TCN22" s="2"/>
      <c r="TCO22" s="2"/>
      <c r="TCP22" s="2"/>
      <c r="TCQ22" s="2"/>
      <c r="TCR22" s="2"/>
      <c r="TCS22" s="2"/>
      <c r="TCT22" s="2"/>
      <c r="TCU22" s="2"/>
      <c r="TCV22" s="2"/>
      <c r="TCW22" s="2"/>
      <c r="TCX22" s="2"/>
      <c r="TCY22" s="2"/>
      <c r="TCZ22" s="2"/>
      <c r="TDA22" s="2"/>
      <c r="TDB22" s="2"/>
      <c r="TDC22" s="2"/>
      <c r="TDD22" s="2"/>
      <c r="TDE22" s="2"/>
      <c r="TDF22" s="2"/>
      <c r="TDG22" s="2"/>
      <c r="TDH22" s="2"/>
      <c r="TDI22" s="2"/>
      <c r="TDJ22" s="2"/>
      <c r="TDK22" s="2"/>
      <c r="TDL22" s="2"/>
      <c r="TDM22" s="2"/>
      <c r="TDN22" s="2"/>
      <c r="TDO22" s="2"/>
      <c r="TDP22" s="2"/>
      <c r="TDQ22" s="2"/>
      <c r="TDR22" s="2"/>
      <c r="TDS22" s="2"/>
      <c r="TDT22" s="2"/>
      <c r="TDU22" s="2"/>
      <c r="TDV22" s="2"/>
      <c r="TDW22" s="2"/>
      <c r="TDX22" s="2"/>
      <c r="TDY22" s="2"/>
      <c r="TDZ22" s="2"/>
      <c r="TEA22" s="2"/>
      <c r="TEB22" s="2"/>
      <c r="TEC22" s="2"/>
      <c r="TED22" s="2"/>
      <c r="TEE22" s="2"/>
      <c r="TEF22" s="2"/>
      <c r="TEG22" s="2"/>
      <c r="TEH22" s="2"/>
      <c r="TEI22" s="2"/>
      <c r="TEJ22" s="2"/>
      <c r="TEK22" s="2"/>
      <c r="TEL22" s="2"/>
      <c r="TEM22" s="2"/>
      <c r="TEN22" s="2"/>
      <c r="TEO22" s="2"/>
      <c r="TEP22" s="2"/>
      <c r="TEQ22" s="2"/>
      <c r="TER22" s="2"/>
      <c r="TES22" s="2"/>
      <c r="TET22" s="2"/>
      <c r="TEU22" s="2"/>
      <c r="TEV22" s="2"/>
      <c r="TEW22" s="2"/>
      <c r="TEX22" s="2"/>
      <c r="TEY22" s="2"/>
      <c r="TEZ22" s="2"/>
      <c r="TFA22" s="2"/>
      <c r="TFB22" s="2"/>
      <c r="TFC22" s="2"/>
      <c r="TFD22" s="2"/>
      <c r="TFE22" s="2"/>
      <c r="TFF22" s="2"/>
      <c r="TFG22" s="2"/>
      <c r="TFH22" s="2"/>
      <c r="TFI22" s="2"/>
      <c r="TFJ22" s="2"/>
      <c r="TFK22" s="2"/>
      <c r="TFL22" s="2"/>
      <c r="TFM22" s="2"/>
      <c r="TFN22" s="2"/>
      <c r="TFO22" s="2"/>
      <c r="TFP22" s="2"/>
      <c r="TFQ22" s="2"/>
      <c r="TFR22" s="2"/>
      <c r="TFS22" s="2"/>
      <c r="TFT22" s="2"/>
      <c r="TFU22" s="2"/>
      <c r="TFV22" s="2"/>
      <c r="TFW22" s="2"/>
      <c r="TFX22" s="2"/>
      <c r="TFY22" s="2"/>
      <c r="TFZ22" s="2"/>
      <c r="TGA22" s="2"/>
      <c r="TGB22" s="2"/>
      <c r="TGC22" s="2"/>
      <c r="TGD22" s="2"/>
      <c r="TGE22" s="2"/>
      <c r="TGF22" s="2"/>
      <c r="TGG22" s="2"/>
      <c r="TGH22" s="2"/>
      <c r="TGI22" s="2"/>
      <c r="TGJ22" s="2"/>
      <c r="TGK22" s="2"/>
      <c r="TGL22" s="2"/>
      <c r="TGM22" s="2"/>
      <c r="TGN22" s="2"/>
      <c r="TGO22" s="2"/>
      <c r="TGP22" s="2"/>
      <c r="TGQ22" s="2"/>
      <c r="TGR22" s="2"/>
      <c r="TGS22" s="2"/>
      <c r="TGT22" s="2"/>
      <c r="TGU22" s="2"/>
      <c r="TGV22" s="2"/>
      <c r="TGW22" s="2"/>
      <c r="TGX22" s="2"/>
      <c r="TGY22" s="2"/>
      <c r="TGZ22" s="2"/>
      <c r="THA22" s="2"/>
      <c r="THB22" s="2"/>
      <c r="THC22" s="2"/>
      <c r="THD22" s="2"/>
      <c r="THE22" s="2"/>
      <c r="THF22" s="2"/>
      <c r="THG22" s="2"/>
      <c r="THH22" s="2"/>
      <c r="THI22" s="2"/>
      <c r="THJ22" s="2"/>
      <c r="THK22" s="2"/>
      <c r="THL22" s="2"/>
      <c r="THM22" s="2"/>
      <c r="THN22" s="2"/>
      <c r="THO22" s="2"/>
      <c r="THP22" s="2"/>
      <c r="THQ22" s="2"/>
      <c r="THR22" s="2"/>
      <c r="THS22" s="2"/>
      <c r="THT22" s="2"/>
      <c r="THU22" s="2"/>
      <c r="THV22" s="2"/>
      <c r="THW22" s="2"/>
      <c r="THX22" s="2"/>
      <c r="THY22" s="2"/>
      <c r="THZ22" s="2"/>
      <c r="TIA22" s="2"/>
      <c r="TIB22" s="2"/>
      <c r="TIC22" s="2"/>
      <c r="TID22" s="2"/>
      <c r="TIE22" s="2"/>
      <c r="TIF22" s="2"/>
      <c r="TIG22" s="2"/>
      <c r="TIH22" s="2"/>
      <c r="TII22" s="2"/>
      <c r="TIJ22" s="2"/>
      <c r="TIK22" s="2"/>
      <c r="TIL22" s="2"/>
      <c r="TIM22" s="2"/>
      <c r="TIN22" s="2"/>
      <c r="TIO22" s="2"/>
      <c r="TIP22" s="2"/>
      <c r="TIQ22" s="2"/>
      <c r="TIR22" s="2"/>
      <c r="TIS22" s="2"/>
      <c r="TIT22" s="2"/>
      <c r="TIU22" s="2"/>
      <c r="TIV22" s="2"/>
      <c r="TIW22" s="2"/>
      <c r="TIX22" s="2"/>
      <c r="TIY22" s="2"/>
      <c r="TIZ22" s="2"/>
      <c r="TJA22" s="2"/>
      <c r="TJB22" s="2"/>
      <c r="TJC22" s="2"/>
      <c r="TJD22" s="2"/>
      <c r="TJE22" s="2"/>
      <c r="TJF22" s="2"/>
      <c r="TJG22" s="2"/>
      <c r="TJH22" s="2"/>
      <c r="TJI22" s="2"/>
      <c r="TJJ22" s="2"/>
      <c r="TJK22" s="2"/>
      <c r="TJL22" s="2"/>
      <c r="TJM22" s="2"/>
      <c r="TJN22" s="2"/>
      <c r="TJO22" s="2"/>
      <c r="TJP22" s="2"/>
      <c r="TJQ22" s="2"/>
      <c r="TJR22" s="2"/>
      <c r="TJS22" s="2"/>
      <c r="TJT22" s="2"/>
      <c r="TJU22" s="2"/>
      <c r="TJV22" s="2"/>
      <c r="TJW22" s="2"/>
      <c r="TJX22" s="2"/>
      <c r="TJY22" s="2"/>
      <c r="TJZ22" s="2"/>
      <c r="TKA22" s="2"/>
      <c r="TKB22" s="2"/>
      <c r="TKC22" s="2"/>
      <c r="TKD22" s="2"/>
      <c r="TKE22" s="2"/>
      <c r="TKF22" s="2"/>
      <c r="TKG22" s="2"/>
      <c r="TKH22" s="2"/>
      <c r="TKI22" s="2"/>
      <c r="TKJ22" s="2"/>
      <c r="TKK22" s="2"/>
      <c r="TKL22" s="2"/>
      <c r="TKM22" s="2"/>
      <c r="TKN22" s="2"/>
      <c r="TKO22" s="2"/>
      <c r="TKP22" s="2"/>
      <c r="TKQ22" s="2"/>
      <c r="TKR22" s="2"/>
      <c r="TKS22" s="2"/>
      <c r="TKT22" s="2"/>
      <c r="TKU22" s="2"/>
      <c r="TKV22" s="2"/>
      <c r="TKW22" s="2"/>
      <c r="TKX22" s="2"/>
      <c r="TKY22" s="2"/>
      <c r="TKZ22" s="2"/>
      <c r="TLA22" s="2"/>
      <c r="TLB22" s="2"/>
      <c r="TLC22" s="2"/>
      <c r="TLD22" s="2"/>
      <c r="TLE22" s="2"/>
      <c r="TLF22" s="2"/>
      <c r="TLG22" s="2"/>
      <c r="TLH22" s="2"/>
      <c r="TLI22" s="2"/>
      <c r="TLJ22" s="2"/>
      <c r="TLK22" s="2"/>
      <c r="TLL22" s="2"/>
      <c r="TLM22" s="2"/>
      <c r="TLN22" s="2"/>
      <c r="TLO22" s="2"/>
      <c r="TLP22" s="2"/>
      <c r="TLQ22" s="2"/>
      <c r="TLR22" s="2"/>
      <c r="TLS22" s="2"/>
      <c r="TLT22" s="2"/>
      <c r="TLU22" s="2"/>
      <c r="TLV22" s="2"/>
      <c r="TLW22" s="2"/>
      <c r="TLX22" s="2"/>
      <c r="TLY22" s="2"/>
      <c r="TLZ22" s="2"/>
      <c r="TMA22" s="2"/>
      <c r="TMB22" s="2"/>
      <c r="TMC22" s="2"/>
      <c r="TMD22" s="2"/>
      <c r="TME22" s="2"/>
      <c r="TMF22" s="2"/>
      <c r="TMG22" s="2"/>
      <c r="TMH22" s="2"/>
      <c r="TMI22" s="2"/>
      <c r="TMJ22" s="2"/>
      <c r="TMK22" s="2"/>
      <c r="TML22" s="2"/>
      <c r="TMM22" s="2"/>
      <c r="TMN22" s="2"/>
      <c r="TMO22" s="2"/>
      <c r="TMP22" s="2"/>
      <c r="TMQ22" s="2"/>
      <c r="TMR22" s="2"/>
      <c r="TMS22" s="2"/>
      <c r="TMT22" s="2"/>
      <c r="TMU22" s="2"/>
      <c r="TMV22" s="2"/>
      <c r="TMW22" s="2"/>
      <c r="TMX22" s="2"/>
      <c r="TMY22" s="2"/>
      <c r="TMZ22" s="2"/>
      <c r="TNA22" s="2"/>
      <c r="TNB22" s="2"/>
      <c r="TNC22" s="2"/>
      <c r="TND22" s="2"/>
      <c r="TNE22" s="2"/>
      <c r="TNF22" s="2"/>
      <c r="TNG22" s="2"/>
      <c r="TNH22" s="2"/>
      <c r="TNI22" s="2"/>
      <c r="TNJ22" s="2"/>
      <c r="TNK22" s="2"/>
      <c r="TNL22" s="2"/>
      <c r="TNM22" s="2"/>
      <c r="TNN22" s="2"/>
      <c r="TNO22" s="2"/>
      <c r="TNP22" s="2"/>
      <c r="TNQ22" s="2"/>
      <c r="TNR22" s="2"/>
      <c r="TNS22" s="2"/>
      <c r="TNT22" s="2"/>
      <c r="TNU22" s="2"/>
      <c r="TNV22" s="2"/>
      <c r="TNW22" s="2"/>
      <c r="TNX22" s="2"/>
      <c r="TNY22" s="2"/>
      <c r="TNZ22" s="2"/>
      <c r="TOA22" s="2"/>
      <c r="TOB22" s="2"/>
      <c r="TOC22" s="2"/>
      <c r="TOD22" s="2"/>
      <c r="TOE22" s="2"/>
      <c r="TOF22" s="2"/>
      <c r="TOG22" s="2"/>
      <c r="TOH22" s="2"/>
      <c r="TOI22" s="2"/>
      <c r="TOJ22" s="2"/>
      <c r="TOK22" s="2"/>
      <c r="TOL22" s="2"/>
      <c r="TOM22" s="2"/>
      <c r="TON22" s="2"/>
      <c r="TOO22" s="2"/>
      <c r="TOP22" s="2"/>
      <c r="TOQ22" s="2"/>
      <c r="TOR22" s="2"/>
      <c r="TOS22" s="2"/>
      <c r="TOT22" s="2"/>
      <c r="TOU22" s="2"/>
      <c r="TOV22" s="2"/>
      <c r="TOW22" s="2"/>
      <c r="TOX22" s="2"/>
      <c r="TOY22" s="2"/>
      <c r="TOZ22" s="2"/>
      <c r="TPA22" s="2"/>
      <c r="TPB22" s="2"/>
      <c r="TPC22" s="2"/>
      <c r="TPD22" s="2"/>
      <c r="TPE22" s="2"/>
      <c r="TPF22" s="2"/>
      <c r="TPG22" s="2"/>
      <c r="TPH22" s="2"/>
      <c r="TPI22" s="2"/>
      <c r="TPJ22" s="2"/>
      <c r="TPK22" s="2"/>
      <c r="TPL22" s="2"/>
      <c r="TPM22" s="2"/>
      <c r="TPN22" s="2"/>
      <c r="TPO22" s="2"/>
      <c r="TPP22" s="2"/>
      <c r="TPQ22" s="2"/>
      <c r="TPR22" s="2"/>
      <c r="TPS22" s="2"/>
      <c r="TPT22" s="2"/>
      <c r="TPU22" s="2"/>
      <c r="TPV22" s="2"/>
      <c r="TPW22" s="2"/>
      <c r="TPX22" s="2"/>
      <c r="TPY22" s="2"/>
      <c r="TPZ22" s="2"/>
      <c r="TQA22" s="2"/>
      <c r="TQB22" s="2"/>
      <c r="TQC22" s="2"/>
      <c r="TQD22" s="2"/>
      <c r="TQE22" s="2"/>
      <c r="TQF22" s="2"/>
      <c r="TQG22" s="2"/>
      <c r="TQH22" s="2"/>
      <c r="TQI22" s="2"/>
      <c r="TQJ22" s="2"/>
      <c r="TQK22" s="2"/>
      <c r="TQL22" s="2"/>
      <c r="TQM22" s="2"/>
      <c r="TQN22" s="2"/>
      <c r="TQO22" s="2"/>
      <c r="TQP22" s="2"/>
      <c r="TQQ22" s="2"/>
      <c r="TQR22" s="2"/>
      <c r="TQS22" s="2"/>
      <c r="TQT22" s="2"/>
      <c r="TQU22" s="2"/>
      <c r="TQV22" s="2"/>
      <c r="TQW22" s="2"/>
      <c r="TQX22" s="2"/>
      <c r="TQY22" s="2"/>
      <c r="TQZ22" s="2"/>
      <c r="TRA22" s="2"/>
      <c r="TRB22" s="2"/>
      <c r="TRC22" s="2"/>
      <c r="TRD22" s="2"/>
      <c r="TRE22" s="2"/>
      <c r="TRF22" s="2"/>
      <c r="TRG22" s="2"/>
      <c r="TRH22" s="2"/>
      <c r="TRI22" s="2"/>
      <c r="TRJ22" s="2"/>
      <c r="TRK22" s="2"/>
      <c r="TRL22" s="2"/>
      <c r="TRM22" s="2"/>
      <c r="TRN22" s="2"/>
      <c r="TRO22" s="2"/>
      <c r="TRP22" s="2"/>
      <c r="TRQ22" s="2"/>
      <c r="TRR22" s="2"/>
      <c r="TRS22" s="2"/>
      <c r="TRT22" s="2"/>
      <c r="TRU22" s="2"/>
      <c r="TRV22" s="2"/>
      <c r="TRW22" s="2"/>
      <c r="TRX22" s="2"/>
      <c r="TRY22" s="2"/>
      <c r="TRZ22" s="2"/>
      <c r="TSA22" s="2"/>
      <c r="TSB22" s="2"/>
      <c r="TSC22" s="2"/>
      <c r="TSD22" s="2"/>
      <c r="TSE22" s="2"/>
      <c r="TSF22" s="2"/>
      <c r="TSG22" s="2"/>
      <c r="TSH22" s="2"/>
      <c r="TSI22" s="2"/>
      <c r="TSJ22" s="2"/>
      <c r="TSK22" s="2"/>
      <c r="TSL22" s="2"/>
      <c r="TSM22" s="2"/>
      <c r="TSN22" s="2"/>
      <c r="TSO22" s="2"/>
      <c r="TSP22" s="2"/>
      <c r="TSQ22" s="2"/>
      <c r="TSR22" s="2"/>
      <c r="TSS22" s="2"/>
      <c r="TST22" s="2"/>
      <c r="TSU22" s="2"/>
      <c r="TSV22" s="2"/>
      <c r="TSW22" s="2"/>
      <c r="TSX22" s="2"/>
      <c r="TSY22" s="2"/>
      <c r="TSZ22" s="2"/>
      <c r="TTA22" s="2"/>
      <c r="TTB22" s="2"/>
      <c r="TTC22" s="2"/>
      <c r="TTD22" s="2"/>
      <c r="TTE22" s="2"/>
      <c r="TTF22" s="2"/>
      <c r="TTG22" s="2"/>
      <c r="TTH22" s="2"/>
      <c r="TTI22" s="2"/>
      <c r="TTJ22" s="2"/>
      <c r="TTK22" s="2"/>
      <c r="TTL22" s="2"/>
      <c r="TTM22" s="2"/>
      <c r="TTN22" s="2"/>
      <c r="TTO22" s="2"/>
      <c r="TTP22" s="2"/>
      <c r="TTQ22" s="2"/>
      <c r="TTR22" s="2"/>
      <c r="TTS22" s="2"/>
      <c r="TTT22" s="2"/>
      <c r="TTU22" s="2"/>
      <c r="TTV22" s="2"/>
      <c r="TTW22" s="2"/>
      <c r="TTX22" s="2"/>
      <c r="TTY22" s="2"/>
      <c r="TTZ22" s="2"/>
      <c r="TUA22" s="2"/>
      <c r="TUB22" s="2"/>
      <c r="TUC22" s="2"/>
      <c r="TUD22" s="2"/>
      <c r="TUE22" s="2"/>
      <c r="TUF22" s="2"/>
      <c r="TUG22" s="2"/>
      <c r="TUH22" s="2"/>
      <c r="TUI22" s="2"/>
      <c r="TUJ22" s="2"/>
      <c r="TUK22" s="2"/>
      <c r="TUL22" s="2"/>
      <c r="TUM22" s="2"/>
      <c r="TUN22" s="2"/>
      <c r="TUO22" s="2"/>
      <c r="TUP22" s="2"/>
      <c r="TUQ22" s="2"/>
      <c r="TUR22" s="2"/>
      <c r="TUS22" s="2"/>
      <c r="TUT22" s="2"/>
      <c r="TUU22" s="2"/>
      <c r="TUV22" s="2"/>
      <c r="TUW22" s="2"/>
      <c r="TUX22" s="2"/>
      <c r="TUY22" s="2"/>
      <c r="TUZ22" s="2"/>
      <c r="TVA22" s="2"/>
      <c r="TVB22" s="2"/>
      <c r="TVC22" s="2"/>
      <c r="TVD22" s="2"/>
      <c r="TVE22" s="2"/>
      <c r="TVF22" s="2"/>
      <c r="TVG22" s="2"/>
      <c r="TVH22" s="2"/>
      <c r="TVI22" s="2"/>
      <c r="TVJ22" s="2"/>
      <c r="TVK22" s="2"/>
      <c r="TVL22" s="2"/>
      <c r="TVM22" s="2"/>
      <c r="TVN22" s="2"/>
      <c r="TVO22" s="2"/>
      <c r="TVP22" s="2"/>
      <c r="TVQ22" s="2"/>
      <c r="TVR22" s="2"/>
      <c r="TVS22" s="2"/>
      <c r="TVT22" s="2"/>
      <c r="TVU22" s="2"/>
      <c r="TVV22" s="2"/>
      <c r="TVW22" s="2"/>
      <c r="TVX22" s="2"/>
      <c r="TVY22" s="2"/>
      <c r="TVZ22" s="2"/>
      <c r="TWA22" s="2"/>
      <c r="TWB22" s="2"/>
      <c r="TWC22" s="2"/>
      <c r="TWD22" s="2"/>
      <c r="TWE22" s="2"/>
      <c r="TWF22" s="2"/>
      <c r="TWG22" s="2"/>
      <c r="TWH22" s="2"/>
      <c r="TWI22" s="2"/>
      <c r="TWJ22" s="2"/>
      <c r="TWK22" s="2"/>
      <c r="TWL22" s="2"/>
      <c r="TWM22" s="2"/>
      <c r="TWN22" s="2"/>
      <c r="TWO22" s="2"/>
      <c r="TWP22" s="2"/>
      <c r="TWQ22" s="2"/>
      <c r="TWR22" s="2"/>
      <c r="TWS22" s="2"/>
      <c r="TWT22" s="2"/>
      <c r="TWU22" s="2"/>
      <c r="TWV22" s="2"/>
      <c r="TWW22" s="2"/>
      <c r="TWX22" s="2"/>
      <c r="TWY22" s="2"/>
      <c r="TWZ22" s="2"/>
      <c r="TXA22" s="2"/>
      <c r="TXB22" s="2"/>
      <c r="TXC22" s="2"/>
      <c r="TXD22" s="2"/>
      <c r="TXE22" s="2"/>
      <c r="TXF22" s="2"/>
      <c r="TXG22" s="2"/>
      <c r="TXH22" s="2"/>
      <c r="TXI22" s="2"/>
      <c r="TXJ22" s="2"/>
      <c r="TXK22" s="2"/>
      <c r="TXL22" s="2"/>
      <c r="TXM22" s="2"/>
      <c r="TXN22" s="2"/>
      <c r="TXO22" s="2"/>
      <c r="TXP22" s="2"/>
      <c r="TXQ22" s="2"/>
      <c r="TXR22" s="2"/>
      <c r="TXS22" s="2"/>
      <c r="TXT22" s="2"/>
      <c r="TXU22" s="2"/>
      <c r="TXV22" s="2"/>
      <c r="TXW22" s="2"/>
      <c r="TXX22" s="2"/>
      <c r="TXY22" s="2"/>
      <c r="TXZ22" s="2"/>
      <c r="TYA22" s="2"/>
      <c r="TYB22" s="2"/>
      <c r="TYC22" s="2"/>
      <c r="TYD22" s="2"/>
      <c r="TYE22" s="2"/>
      <c r="TYF22" s="2"/>
      <c r="TYG22" s="2"/>
      <c r="TYH22" s="2"/>
      <c r="TYI22" s="2"/>
      <c r="TYJ22" s="2"/>
      <c r="TYK22" s="2"/>
      <c r="TYL22" s="2"/>
      <c r="TYM22" s="2"/>
      <c r="TYN22" s="2"/>
      <c r="TYO22" s="2"/>
      <c r="TYP22" s="2"/>
      <c r="TYQ22" s="2"/>
      <c r="TYR22" s="2"/>
      <c r="TYS22" s="2"/>
      <c r="TYT22" s="2"/>
      <c r="TYU22" s="2"/>
      <c r="TYV22" s="2"/>
      <c r="TYW22" s="2"/>
      <c r="TYX22" s="2"/>
      <c r="TYY22" s="2"/>
      <c r="TYZ22" s="2"/>
      <c r="TZA22" s="2"/>
      <c r="TZB22" s="2"/>
      <c r="TZC22" s="2"/>
      <c r="TZD22" s="2"/>
      <c r="TZE22" s="2"/>
      <c r="TZF22" s="2"/>
      <c r="TZG22" s="2"/>
      <c r="TZH22" s="2"/>
      <c r="TZI22" s="2"/>
      <c r="TZJ22" s="2"/>
      <c r="TZK22" s="2"/>
      <c r="TZL22" s="2"/>
      <c r="TZM22" s="2"/>
      <c r="TZN22" s="2"/>
      <c r="TZO22" s="2"/>
      <c r="TZP22" s="2"/>
      <c r="TZQ22" s="2"/>
      <c r="TZR22" s="2"/>
      <c r="TZS22" s="2"/>
      <c r="TZT22" s="2"/>
      <c r="TZU22" s="2"/>
      <c r="TZV22" s="2"/>
      <c r="TZW22" s="2"/>
      <c r="TZX22" s="2"/>
      <c r="TZY22" s="2"/>
      <c r="TZZ22" s="2"/>
      <c r="UAA22" s="2"/>
      <c r="UAB22" s="2"/>
      <c r="UAC22" s="2"/>
      <c r="UAD22" s="2"/>
      <c r="UAE22" s="2"/>
      <c r="UAF22" s="2"/>
      <c r="UAG22" s="2"/>
      <c r="UAH22" s="2"/>
      <c r="UAI22" s="2"/>
      <c r="UAJ22" s="2"/>
      <c r="UAK22" s="2"/>
      <c r="UAL22" s="2"/>
      <c r="UAM22" s="2"/>
      <c r="UAN22" s="2"/>
      <c r="UAO22" s="2"/>
      <c r="UAP22" s="2"/>
      <c r="UAQ22" s="2"/>
      <c r="UAR22" s="2"/>
      <c r="UAS22" s="2"/>
      <c r="UAT22" s="2"/>
      <c r="UAU22" s="2"/>
      <c r="UAV22" s="2"/>
      <c r="UAW22" s="2"/>
      <c r="UAX22" s="2"/>
      <c r="UAY22" s="2"/>
      <c r="UAZ22" s="2"/>
      <c r="UBA22" s="2"/>
      <c r="UBB22" s="2"/>
      <c r="UBC22" s="2"/>
      <c r="UBD22" s="2"/>
      <c r="UBE22" s="2"/>
      <c r="UBF22" s="2"/>
      <c r="UBG22" s="2"/>
      <c r="UBH22" s="2"/>
      <c r="UBI22" s="2"/>
      <c r="UBJ22" s="2"/>
      <c r="UBK22" s="2"/>
      <c r="UBL22" s="2"/>
      <c r="UBM22" s="2"/>
      <c r="UBN22" s="2"/>
      <c r="UBO22" s="2"/>
      <c r="UBP22" s="2"/>
      <c r="UBQ22" s="2"/>
      <c r="UBR22" s="2"/>
      <c r="UBS22" s="2"/>
      <c r="UBT22" s="2"/>
      <c r="UBU22" s="2"/>
      <c r="UBV22" s="2"/>
      <c r="UBW22" s="2"/>
      <c r="UBX22" s="2"/>
      <c r="UBY22" s="2"/>
      <c r="UBZ22" s="2"/>
      <c r="UCA22" s="2"/>
      <c r="UCB22" s="2"/>
      <c r="UCC22" s="2"/>
      <c r="UCD22" s="2"/>
      <c r="UCE22" s="2"/>
      <c r="UCF22" s="2"/>
      <c r="UCG22" s="2"/>
      <c r="UCH22" s="2"/>
      <c r="UCI22" s="2"/>
      <c r="UCJ22" s="2"/>
      <c r="UCK22" s="2"/>
      <c r="UCL22" s="2"/>
      <c r="UCM22" s="2"/>
      <c r="UCN22" s="2"/>
      <c r="UCO22" s="2"/>
      <c r="UCP22" s="2"/>
      <c r="UCQ22" s="2"/>
      <c r="UCR22" s="2"/>
      <c r="UCS22" s="2"/>
      <c r="UCT22" s="2"/>
      <c r="UCU22" s="2"/>
      <c r="UCV22" s="2"/>
      <c r="UCW22" s="2"/>
      <c r="UCX22" s="2"/>
      <c r="UCY22" s="2"/>
      <c r="UCZ22" s="2"/>
      <c r="UDA22" s="2"/>
      <c r="UDB22" s="2"/>
      <c r="UDC22" s="2"/>
      <c r="UDD22" s="2"/>
      <c r="UDE22" s="2"/>
      <c r="UDF22" s="2"/>
      <c r="UDG22" s="2"/>
      <c r="UDH22" s="2"/>
      <c r="UDI22" s="2"/>
      <c r="UDJ22" s="2"/>
      <c r="UDK22" s="2"/>
      <c r="UDL22" s="2"/>
      <c r="UDM22" s="2"/>
      <c r="UDN22" s="2"/>
      <c r="UDO22" s="2"/>
      <c r="UDP22" s="2"/>
      <c r="UDQ22" s="2"/>
      <c r="UDR22" s="2"/>
      <c r="UDS22" s="2"/>
      <c r="UDT22" s="2"/>
      <c r="UDU22" s="2"/>
      <c r="UDV22" s="2"/>
      <c r="UDW22" s="2"/>
      <c r="UDX22" s="2"/>
      <c r="UDY22" s="2"/>
      <c r="UDZ22" s="2"/>
      <c r="UEA22" s="2"/>
      <c r="UEB22" s="2"/>
      <c r="UEC22" s="2"/>
      <c r="UED22" s="2"/>
      <c r="UEE22" s="2"/>
      <c r="UEF22" s="2"/>
      <c r="UEG22" s="2"/>
      <c r="UEH22" s="2"/>
      <c r="UEI22" s="2"/>
      <c r="UEJ22" s="2"/>
      <c r="UEK22" s="2"/>
      <c r="UEL22" s="2"/>
      <c r="UEM22" s="2"/>
      <c r="UEN22" s="2"/>
      <c r="UEO22" s="2"/>
      <c r="UEP22" s="2"/>
      <c r="UEQ22" s="2"/>
      <c r="UER22" s="2"/>
      <c r="UES22" s="2"/>
      <c r="UET22" s="2"/>
      <c r="UEU22" s="2"/>
      <c r="UEV22" s="2"/>
      <c r="UEW22" s="2"/>
      <c r="UEX22" s="2"/>
      <c r="UEY22" s="2"/>
      <c r="UEZ22" s="2"/>
      <c r="UFA22" s="2"/>
      <c r="UFB22" s="2"/>
      <c r="UFC22" s="2"/>
      <c r="UFD22" s="2"/>
      <c r="UFE22" s="2"/>
      <c r="UFF22" s="2"/>
      <c r="UFG22" s="2"/>
      <c r="UFH22" s="2"/>
      <c r="UFI22" s="2"/>
      <c r="UFJ22" s="2"/>
      <c r="UFK22" s="2"/>
      <c r="UFL22" s="2"/>
      <c r="UFM22" s="2"/>
      <c r="UFN22" s="2"/>
      <c r="UFO22" s="2"/>
      <c r="UFP22" s="2"/>
      <c r="UFQ22" s="2"/>
      <c r="UFR22" s="2"/>
      <c r="UFS22" s="2"/>
      <c r="UFT22" s="2"/>
      <c r="UFU22" s="2"/>
      <c r="UFV22" s="2"/>
      <c r="UFW22" s="2"/>
      <c r="UFX22" s="2"/>
      <c r="UFY22" s="2"/>
      <c r="UFZ22" s="2"/>
      <c r="UGA22" s="2"/>
      <c r="UGB22" s="2"/>
      <c r="UGC22" s="2"/>
      <c r="UGD22" s="2"/>
      <c r="UGE22" s="2"/>
      <c r="UGF22" s="2"/>
      <c r="UGG22" s="2"/>
      <c r="UGH22" s="2"/>
      <c r="UGI22" s="2"/>
      <c r="UGJ22" s="2"/>
      <c r="UGK22" s="2"/>
      <c r="UGL22" s="2"/>
      <c r="UGM22" s="2"/>
      <c r="UGN22" s="2"/>
      <c r="UGO22" s="2"/>
      <c r="UGP22" s="2"/>
      <c r="UGQ22" s="2"/>
      <c r="UGR22" s="2"/>
      <c r="UGS22" s="2"/>
      <c r="UGT22" s="2"/>
      <c r="UGU22" s="2"/>
      <c r="UGV22" s="2"/>
      <c r="UGW22" s="2"/>
      <c r="UGX22" s="2"/>
      <c r="UGY22" s="2"/>
      <c r="UGZ22" s="2"/>
      <c r="UHA22" s="2"/>
      <c r="UHB22" s="2"/>
      <c r="UHC22" s="2"/>
      <c r="UHD22" s="2"/>
      <c r="UHE22" s="2"/>
      <c r="UHF22" s="2"/>
      <c r="UHG22" s="2"/>
      <c r="UHH22" s="2"/>
      <c r="UHI22" s="2"/>
      <c r="UHJ22" s="2"/>
      <c r="UHK22" s="2"/>
      <c r="UHL22" s="2"/>
      <c r="UHM22" s="2"/>
      <c r="UHN22" s="2"/>
      <c r="UHO22" s="2"/>
      <c r="UHP22" s="2"/>
      <c r="UHQ22" s="2"/>
      <c r="UHR22" s="2"/>
      <c r="UHS22" s="2"/>
      <c r="UHT22" s="2"/>
      <c r="UHU22" s="2"/>
      <c r="UHV22" s="2"/>
      <c r="UHW22" s="2"/>
      <c r="UHX22" s="2"/>
      <c r="UHY22" s="2"/>
      <c r="UHZ22" s="2"/>
      <c r="UIA22" s="2"/>
      <c r="UIB22" s="2"/>
      <c r="UIC22" s="2"/>
      <c r="UID22" s="2"/>
      <c r="UIE22" s="2"/>
      <c r="UIF22" s="2"/>
      <c r="UIG22" s="2"/>
      <c r="UIH22" s="2"/>
      <c r="UII22" s="2"/>
      <c r="UIJ22" s="2"/>
      <c r="UIK22" s="2"/>
      <c r="UIL22" s="2"/>
      <c r="UIM22" s="2"/>
      <c r="UIN22" s="2"/>
      <c r="UIO22" s="2"/>
      <c r="UIP22" s="2"/>
      <c r="UIQ22" s="2"/>
      <c r="UIR22" s="2"/>
      <c r="UIS22" s="2"/>
      <c r="UIT22" s="2"/>
      <c r="UIU22" s="2"/>
      <c r="UIV22" s="2"/>
      <c r="UIW22" s="2"/>
      <c r="UIX22" s="2"/>
      <c r="UIY22" s="2"/>
      <c r="UIZ22" s="2"/>
      <c r="UJA22" s="2"/>
      <c r="UJB22" s="2"/>
      <c r="UJC22" s="2"/>
      <c r="UJD22" s="2"/>
      <c r="UJE22" s="2"/>
      <c r="UJF22" s="2"/>
      <c r="UJG22" s="2"/>
      <c r="UJH22" s="2"/>
      <c r="UJI22" s="2"/>
      <c r="UJJ22" s="2"/>
      <c r="UJK22" s="2"/>
      <c r="UJL22" s="2"/>
      <c r="UJM22" s="2"/>
      <c r="UJN22" s="2"/>
      <c r="UJO22" s="2"/>
      <c r="UJP22" s="2"/>
      <c r="UJQ22" s="2"/>
      <c r="UJR22" s="2"/>
      <c r="UJS22" s="2"/>
      <c r="UJT22" s="2"/>
      <c r="UJU22" s="2"/>
      <c r="UJV22" s="2"/>
      <c r="UJW22" s="2"/>
      <c r="UJX22" s="2"/>
      <c r="UJY22" s="2"/>
      <c r="UJZ22" s="2"/>
      <c r="UKA22" s="2"/>
      <c r="UKB22" s="2"/>
      <c r="UKC22" s="2"/>
      <c r="UKD22" s="2"/>
      <c r="UKE22" s="2"/>
      <c r="UKF22" s="2"/>
      <c r="UKG22" s="2"/>
      <c r="UKH22" s="2"/>
      <c r="UKI22" s="2"/>
      <c r="UKJ22" s="2"/>
      <c r="UKK22" s="2"/>
      <c r="UKL22" s="2"/>
      <c r="UKM22" s="2"/>
      <c r="UKN22" s="2"/>
      <c r="UKO22" s="2"/>
      <c r="UKP22" s="2"/>
      <c r="UKQ22" s="2"/>
      <c r="UKR22" s="2"/>
      <c r="UKS22" s="2"/>
      <c r="UKT22" s="2"/>
      <c r="UKU22" s="2"/>
      <c r="UKV22" s="2"/>
      <c r="UKW22" s="2"/>
      <c r="UKX22" s="2"/>
      <c r="UKY22" s="2"/>
      <c r="UKZ22" s="2"/>
      <c r="ULA22" s="2"/>
      <c r="ULB22" s="2"/>
      <c r="ULC22" s="2"/>
      <c r="ULD22" s="2"/>
      <c r="ULE22" s="2"/>
      <c r="ULF22" s="2"/>
      <c r="ULG22" s="2"/>
      <c r="ULH22" s="2"/>
      <c r="ULI22" s="2"/>
      <c r="ULJ22" s="2"/>
      <c r="ULK22" s="2"/>
      <c r="ULL22" s="2"/>
      <c r="ULM22" s="2"/>
      <c r="ULN22" s="2"/>
      <c r="ULO22" s="2"/>
      <c r="ULP22" s="2"/>
      <c r="ULQ22" s="2"/>
      <c r="ULR22" s="2"/>
      <c r="ULS22" s="2"/>
      <c r="ULT22" s="2"/>
      <c r="ULU22" s="2"/>
      <c r="ULV22" s="2"/>
      <c r="ULW22" s="2"/>
      <c r="ULX22" s="2"/>
      <c r="ULY22" s="2"/>
      <c r="ULZ22" s="2"/>
      <c r="UMA22" s="2"/>
      <c r="UMB22" s="2"/>
      <c r="UMC22" s="2"/>
      <c r="UMD22" s="2"/>
      <c r="UME22" s="2"/>
      <c r="UMF22" s="2"/>
      <c r="UMG22" s="2"/>
      <c r="UMH22" s="2"/>
      <c r="UMI22" s="2"/>
      <c r="UMJ22" s="2"/>
      <c r="UMK22" s="2"/>
      <c r="UML22" s="2"/>
      <c r="UMM22" s="2"/>
      <c r="UMN22" s="2"/>
      <c r="UMO22" s="2"/>
      <c r="UMP22" s="2"/>
      <c r="UMQ22" s="2"/>
      <c r="UMR22" s="2"/>
      <c r="UMS22" s="2"/>
      <c r="UMT22" s="2"/>
      <c r="UMU22" s="2"/>
      <c r="UMV22" s="2"/>
      <c r="UMW22" s="2"/>
      <c r="UMX22" s="2"/>
      <c r="UMY22" s="2"/>
      <c r="UMZ22" s="2"/>
      <c r="UNA22" s="2"/>
      <c r="UNB22" s="2"/>
      <c r="UNC22" s="2"/>
      <c r="UND22" s="2"/>
      <c r="UNE22" s="2"/>
      <c r="UNF22" s="2"/>
      <c r="UNG22" s="2"/>
      <c r="UNH22" s="2"/>
      <c r="UNI22" s="2"/>
      <c r="UNJ22" s="2"/>
      <c r="UNK22" s="2"/>
      <c r="UNL22" s="2"/>
      <c r="UNM22" s="2"/>
      <c r="UNN22" s="2"/>
      <c r="UNO22" s="2"/>
      <c r="UNP22" s="2"/>
      <c r="UNQ22" s="2"/>
      <c r="UNR22" s="2"/>
      <c r="UNS22" s="2"/>
      <c r="UNT22" s="2"/>
      <c r="UNU22" s="2"/>
      <c r="UNV22" s="2"/>
      <c r="UNW22" s="2"/>
      <c r="UNX22" s="2"/>
      <c r="UNY22" s="2"/>
      <c r="UNZ22" s="2"/>
      <c r="UOA22" s="2"/>
      <c r="UOB22" s="2"/>
      <c r="UOC22" s="2"/>
      <c r="UOD22" s="2"/>
      <c r="UOE22" s="2"/>
      <c r="UOF22" s="2"/>
      <c r="UOG22" s="2"/>
      <c r="UOH22" s="2"/>
      <c r="UOI22" s="2"/>
      <c r="UOJ22" s="2"/>
      <c r="UOK22" s="2"/>
      <c r="UOL22" s="2"/>
      <c r="UOM22" s="2"/>
      <c r="UON22" s="2"/>
      <c r="UOO22" s="2"/>
      <c r="UOP22" s="2"/>
      <c r="UOQ22" s="2"/>
      <c r="UOR22" s="2"/>
      <c r="UOS22" s="2"/>
      <c r="UOT22" s="2"/>
      <c r="UOU22" s="2"/>
      <c r="UOV22" s="2"/>
      <c r="UOW22" s="2"/>
      <c r="UOX22" s="2"/>
      <c r="UOY22" s="2"/>
      <c r="UOZ22" s="2"/>
      <c r="UPA22" s="2"/>
      <c r="UPB22" s="2"/>
      <c r="UPC22" s="2"/>
      <c r="UPD22" s="2"/>
      <c r="UPE22" s="2"/>
      <c r="UPF22" s="2"/>
      <c r="UPG22" s="2"/>
      <c r="UPH22" s="2"/>
      <c r="UPI22" s="2"/>
      <c r="UPJ22" s="2"/>
      <c r="UPK22" s="2"/>
      <c r="UPL22" s="2"/>
      <c r="UPM22" s="2"/>
      <c r="UPN22" s="2"/>
      <c r="UPO22" s="2"/>
      <c r="UPP22" s="2"/>
      <c r="UPQ22" s="2"/>
      <c r="UPR22" s="2"/>
      <c r="UPS22" s="2"/>
      <c r="UPT22" s="2"/>
      <c r="UPU22" s="2"/>
      <c r="UPV22" s="2"/>
      <c r="UPW22" s="2"/>
      <c r="UPX22" s="2"/>
      <c r="UPY22" s="2"/>
      <c r="UPZ22" s="2"/>
      <c r="UQA22" s="2"/>
      <c r="UQB22" s="2"/>
      <c r="UQC22" s="2"/>
      <c r="UQD22" s="2"/>
      <c r="UQE22" s="2"/>
      <c r="UQF22" s="2"/>
      <c r="UQG22" s="2"/>
      <c r="UQH22" s="2"/>
      <c r="UQI22" s="2"/>
      <c r="UQJ22" s="2"/>
      <c r="UQK22" s="2"/>
      <c r="UQL22" s="2"/>
      <c r="UQM22" s="2"/>
      <c r="UQN22" s="2"/>
      <c r="UQO22" s="2"/>
      <c r="UQP22" s="2"/>
      <c r="UQQ22" s="2"/>
      <c r="UQR22" s="2"/>
      <c r="UQS22" s="2"/>
      <c r="UQT22" s="2"/>
      <c r="UQU22" s="2"/>
      <c r="UQV22" s="2"/>
      <c r="UQW22" s="2"/>
      <c r="UQX22" s="2"/>
      <c r="UQY22" s="2"/>
      <c r="UQZ22" s="2"/>
      <c r="URA22" s="2"/>
      <c r="URB22" s="2"/>
      <c r="URC22" s="2"/>
      <c r="URD22" s="2"/>
      <c r="URE22" s="2"/>
      <c r="URF22" s="2"/>
      <c r="URG22" s="2"/>
      <c r="URH22" s="2"/>
      <c r="URI22" s="2"/>
      <c r="URJ22" s="2"/>
      <c r="URK22" s="2"/>
      <c r="URL22" s="2"/>
      <c r="URM22" s="2"/>
      <c r="URN22" s="2"/>
      <c r="URO22" s="2"/>
      <c r="URP22" s="2"/>
      <c r="URQ22" s="2"/>
      <c r="URR22" s="2"/>
      <c r="URS22" s="2"/>
      <c r="URT22" s="2"/>
      <c r="URU22" s="2"/>
      <c r="URV22" s="2"/>
      <c r="URW22" s="2"/>
      <c r="URX22" s="2"/>
      <c r="URY22" s="2"/>
      <c r="URZ22" s="2"/>
      <c r="USA22" s="2"/>
      <c r="USB22" s="2"/>
      <c r="USC22" s="2"/>
      <c r="USD22" s="2"/>
      <c r="USE22" s="2"/>
      <c r="USF22" s="2"/>
      <c r="USG22" s="2"/>
      <c r="USH22" s="2"/>
      <c r="USI22" s="2"/>
      <c r="USJ22" s="2"/>
      <c r="USK22" s="2"/>
      <c r="USL22" s="2"/>
      <c r="USM22" s="2"/>
      <c r="USN22" s="2"/>
      <c r="USO22" s="2"/>
      <c r="USP22" s="2"/>
      <c r="USQ22" s="2"/>
      <c r="USR22" s="2"/>
      <c r="USS22" s="2"/>
      <c r="UST22" s="2"/>
      <c r="USU22" s="2"/>
      <c r="USV22" s="2"/>
      <c r="USW22" s="2"/>
      <c r="USX22" s="2"/>
      <c r="USY22" s="2"/>
      <c r="USZ22" s="2"/>
      <c r="UTA22" s="2"/>
      <c r="UTB22" s="2"/>
      <c r="UTC22" s="2"/>
      <c r="UTD22" s="2"/>
      <c r="UTE22" s="2"/>
      <c r="UTF22" s="2"/>
      <c r="UTG22" s="2"/>
      <c r="UTH22" s="2"/>
      <c r="UTI22" s="2"/>
      <c r="UTJ22" s="2"/>
      <c r="UTK22" s="2"/>
      <c r="UTL22" s="2"/>
      <c r="UTM22" s="2"/>
      <c r="UTN22" s="2"/>
      <c r="UTO22" s="2"/>
      <c r="UTP22" s="2"/>
      <c r="UTQ22" s="2"/>
      <c r="UTR22" s="2"/>
      <c r="UTS22" s="2"/>
      <c r="UTT22" s="2"/>
      <c r="UTU22" s="2"/>
      <c r="UTV22" s="2"/>
      <c r="UTW22" s="2"/>
      <c r="UTX22" s="2"/>
      <c r="UTY22" s="2"/>
      <c r="UTZ22" s="2"/>
      <c r="UUA22" s="2"/>
      <c r="UUB22" s="2"/>
      <c r="UUC22" s="2"/>
      <c r="UUD22" s="2"/>
      <c r="UUE22" s="2"/>
      <c r="UUF22" s="2"/>
      <c r="UUG22" s="2"/>
      <c r="UUH22" s="2"/>
      <c r="UUI22" s="2"/>
      <c r="UUJ22" s="2"/>
      <c r="UUK22" s="2"/>
      <c r="UUL22" s="2"/>
      <c r="UUM22" s="2"/>
      <c r="UUN22" s="2"/>
      <c r="UUO22" s="2"/>
      <c r="UUP22" s="2"/>
      <c r="UUQ22" s="2"/>
      <c r="UUR22" s="2"/>
      <c r="UUS22" s="2"/>
      <c r="UUT22" s="2"/>
      <c r="UUU22" s="2"/>
      <c r="UUV22" s="2"/>
      <c r="UUW22" s="2"/>
      <c r="UUX22" s="2"/>
      <c r="UUY22" s="2"/>
      <c r="UUZ22" s="2"/>
      <c r="UVA22" s="2"/>
      <c r="UVB22" s="2"/>
      <c r="UVC22" s="2"/>
      <c r="UVD22" s="2"/>
      <c r="UVE22" s="2"/>
      <c r="UVF22" s="2"/>
      <c r="UVG22" s="2"/>
      <c r="UVH22" s="2"/>
      <c r="UVI22" s="2"/>
      <c r="UVJ22" s="2"/>
      <c r="UVK22" s="2"/>
      <c r="UVL22" s="2"/>
      <c r="UVM22" s="2"/>
      <c r="UVN22" s="2"/>
      <c r="UVO22" s="2"/>
      <c r="UVP22" s="2"/>
      <c r="UVQ22" s="2"/>
      <c r="UVR22" s="2"/>
      <c r="UVS22" s="2"/>
      <c r="UVT22" s="2"/>
      <c r="UVU22" s="2"/>
      <c r="UVV22" s="2"/>
      <c r="UVW22" s="2"/>
      <c r="UVX22" s="2"/>
      <c r="UVY22" s="2"/>
      <c r="UVZ22" s="2"/>
      <c r="UWA22" s="2"/>
      <c r="UWB22" s="2"/>
      <c r="UWC22" s="2"/>
      <c r="UWD22" s="2"/>
      <c r="UWE22" s="2"/>
      <c r="UWF22" s="2"/>
      <c r="UWG22" s="2"/>
      <c r="UWH22" s="2"/>
      <c r="UWI22" s="2"/>
      <c r="UWJ22" s="2"/>
      <c r="UWK22" s="2"/>
      <c r="UWL22" s="2"/>
      <c r="UWM22" s="2"/>
      <c r="UWN22" s="2"/>
      <c r="UWO22" s="2"/>
      <c r="UWP22" s="2"/>
      <c r="UWQ22" s="2"/>
      <c r="UWR22" s="2"/>
      <c r="UWS22" s="2"/>
      <c r="UWT22" s="2"/>
      <c r="UWU22" s="2"/>
      <c r="UWV22" s="2"/>
      <c r="UWW22" s="2"/>
      <c r="UWX22" s="2"/>
      <c r="UWY22" s="2"/>
      <c r="UWZ22" s="2"/>
      <c r="UXA22" s="2"/>
      <c r="UXB22" s="2"/>
      <c r="UXC22" s="2"/>
      <c r="UXD22" s="2"/>
      <c r="UXE22" s="2"/>
      <c r="UXF22" s="2"/>
      <c r="UXG22" s="2"/>
      <c r="UXH22" s="2"/>
      <c r="UXI22" s="2"/>
      <c r="UXJ22" s="2"/>
      <c r="UXK22" s="2"/>
      <c r="UXL22" s="2"/>
      <c r="UXM22" s="2"/>
      <c r="UXN22" s="2"/>
      <c r="UXO22" s="2"/>
      <c r="UXP22" s="2"/>
      <c r="UXQ22" s="2"/>
      <c r="UXR22" s="2"/>
      <c r="UXS22" s="2"/>
      <c r="UXT22" s="2"/>
      <c r="UXU22" s="2"/>
      <c r="UXV22" s="2"/>
      <c r="UXW22" s="2"/>
      <c r="UXX22" s="2"/>
      <c r="UXY22" s="2"/>
      <c r="UXZ22" s="2"/>
      <c r="UYA22" s="2"/>
      <c r="UYB22" s="2"/>
      <c r="UYC22" s="2"/>
      <c r="UYD22" s="2"/>
      <c r="UYE22" s="2"/>
      <c r="UYF22" s="2"/>
      <c r="UYG22" s="2"/>
      <c r="UYH22" s="2"/>
      <c r="UYI22" s="2"/>
      <c r="UYJ22" s="2"/>
      <c r="UYK22" s="2"/>
      <c r="UYL22" s="2"/>
      <c r="UYM22" s="2"/>
      <c r="UYN22" s="2"/>
      <c r="UYO22" s="2"/>
      <c r="UYP22" s="2"/>
      <c r="UYQ22" s="2"/>
      <c r="UYR22" s="2"/>
      <c r="UYS22" s="2"/>
      <c r="UYT22" s="2"/>
      <c r="UYU22" s="2"/>
      <c r="UYV22" s="2"/>
      <c r="UYW22" s="2"/>
      <c r="UYX22" s="2"/>
      <c r="UYY22" s="2"/>
      <c r="UYZ22" s="2"/>
      <c r="UZA22" s="2"/>
      <c r="UZB22" s="2"/>
      <c r="UZC22" s="2"/>
      <c r="UZD22" s="2"/>
      <c r="UZE22" s="2"/>
      <c r="UZF22" s="2"/>
      <c r="UZG22" s="2"/>
      <c r="UZH22" s="2"/>
      <c r="UZI22" s="2"/>
      <c r="UZJ22" s="2"/>
      <c r="UZK22" s="2"/>
      <c r="UZL22" s="2"/>
      <c r="UZM22" s="2"/>
      <c r="UZN22" s="2"/>
      <c r="UZO22" s="2"/>
      <c r="UZP22" s="2"/>
      <c r="UZQ22" s="2"/>
      <c r="UZR22" s="2"/>
      <c r="UZS22" s="2"/>
      <c r="UZT22" s="2"/>
      <c r="UZU22" s="2"/>
      <c r="UZV22" s="2"/>
      <c r="UZW22" s="2"/>
      <c r="UZX22" s="2"/>
      <c r="UZY22" s="2"/>
      <c r="UZZ22" s="2"/>
      <c r="VAA22" s="2"/>
      <c r="VAB22" s="2"/>
      <c r="VAC22" s="2"/>
      <c r="VAD22" s="2"/>
      <c r="VAE22" s="2"/>
      <c r="VAF22" s="2"/>
      <c r="VAG22" s="2"/>
      <c r="VAH22" s="2"/>
      <c r="VAI22" s="2"/>
      <c r="VAJ22" s="2"/>
      <c r="VAK22" s="2"/>
      <c r="VAL22" s="2"/>
      <c r="VAM22" s="2"/>
      <c r="VAN22" s="2"/>
      <c r="VAO22" s="2"/>
      <c r="VAP22" s="2"/>
      <c r="VAQ22" s="2"/>
      <c r="VAR22" s="2"/>
      <c r="VAS22" s="2"/>
      <c r="VAT22" s="2"/>
      <c r="VAU22" s="2"/>
      <c r="VAV22" s="2"/>
      <c r="VAW22" s="2"/>
      <c r="VAX22" s="2"/>
      <c r="VAY22" s="2"/>
      <c r="VAZ22" s="2"/>
      <c r="VBA22" s="2"/>
      <c r="VBB22" s="2"/>
      <c r="VBC22" s="2"/>
      <c r="VBD22" s="2"/>
      <c r="VBE22" s="2"/>
      <c r="VBF22" s="2"/>
      <c r="VBG22" s="2"/>
      <c r="VBH22" s="2"/>
      <c r="VBI22" s="2"/>
      <c r="VBJ22" s="2"/>
      <c r="VBK22" s="2"/>
      <c r="VBL22" s="2"/>
      <c r="VBM22" s="2"/>
      <c r="VBN22" s="2"/>
      <c r="VBO22" s="2"/>
      <c r="VBP22" s="2"/>
      <c r="VBQ22" s="2"/>
      <c r="VBR22" s="2"/>
      <c r="VBS22" s="2"/>
      <c r="VBT22" s="2"/>
      <c r="VBU22" s="2"/>
      <c r="VBV22" s="2"/>
      <c r="VBW22" s="2"/>
      <c r="VBX22" s="2"/>
      <c r="VBY22" s="2"/>
      <c r="VBZ22" s="2"/>
      <c r="VCA22" s="2"/>
      <c r="VCB22" s="2"/>
      <c r="VCC22" s="2"/>
      <c r="VCD22" s="2"/>
      <c r="VCE22" s="2"/>
      <c r="VCF22" s="2"/>
      <c r="VCG22" s="2"/>
      <c r="VCH22" s="2"/>
      <c r="VCI22" s="2"/>
      <c r="VCJ22" s="2"/>
      <c r="VCK22" s="2"/>
      <c r="VCL22" s="2"/>
      <c r="VCM22" s="2"/>
      <c r="VCN22" s="2"/>
      <c r="VCO22" s="2"/>
      <c r="VCP22" s="2"/>
      <c r="VCQ22" s="2"/>
      <c r="VCR22" s="2"/>
      <c r="VCS22" s="2"/>
      <c r="VCT22" s="2"/>
      <c r="VCU22" s="2"/>
      <c r="VCV22" s="2"/>
      <c r="VCW22" s="2"/>
      <c r="VCX22" s="2"/>
      <c r="VCY22" s="2"/>
      <c r="VCZ22" s="2"/>
      <c r="VDA22" s="2"/>
      <c r="VDB22" s="2"/>
      <c r="VDC22" s="2"/>
      <c r="VDD22" s="2"/>
      <c r="VDE22" s="2"/>
      <c r="VDF22" s="2"/>
      <c r="VDG22" s="2"/>
      <c r="VDH22" s="2"/>
      <c r="VDI22" s="2"/>
      <c r="VDJ22" s="2"/>
      <c r="VDK22" s="2"/>
      <c r="VDL22" s="2"/>
      <c r="VDM22" s="2"/>
      <c r="VDN22" s="2"/>
      <c r="VDO22" s="2"/>
      <c r="VDP22" s="2"/>
      <c r="VDQ22" s="2"/>
      <c r="VDR22" s="2"/>
      <c r="VDS22" s="2"/>
      <c r="VDT22" s="2"/>
      <c r="VDU22" s="2"/>
      <c r="VDV22" s="2"/>
      <c r="VDW22" s="2"/>
      <c r="VDX22" s="2"/>
      <c r="VDY22" s="2"/>
      <c r="VDZ22" s="2"/>
      <c r="VEA22" s="2"/>
      <c r="VEB22" s="2"/>
      <c r="VEC22" s="2"/>
      <c r="VED22" s="2"/>
      <c r="VEE22" s="2"/>
      <c r="VEF22" s="2"/>
      <c r="VEG22" s="2"/>
      <c r="VEH22" s="2"/>
      <c r="VEI22" s="2"/>
      <c r="VEJ22" s="2"/>
      <c r="VEK22" s="2"/>
      <c r="VEL22" s="2"/>
      <c r="VEM22" s="2"/>
      <c r="VEN22" s="2"/>
      <c r="VEO22" s="2"/>
      <c r="VEP22" s="2"/>
      <c r="VEQ22" s="2"/>
      <c r="VER22" s="2"/>
      <c r="VES22" s="2"/>
      <c r="VET22" s="2"/>
      <c r="VEU22" s="2"/>
      <c r="VEV22" s="2"/>
      <c r="VEW22" s="2"/>
      <c r="VEX22" s="2"/>
      <c r="VEY22" s="2"/>
      <c r="VEZ22" s="2"/>
      <c r="VFA22" s="2"/>
      <c r="VFB22" s="2"/>
      <c r="VFC22" s="2"/>
      <c r="VFD22" s="2"/>
      <c r="VFE22" s="2"/>
      <c r="VFF22" s="2"/>
      <c r="VFG22" s="2"/>
      <c r="VFH22" s="2"/>
      <c r="VFI22" s="2"/>
      <c r="VFJ22" s="2"/>
      <c r="VFK22" s="2"/>
      <c r="VFL22" s="2"/>
      <c r="VFM22" s="2"/>
      <c r="VFN22" s="2"/>
      <c r="VFO22" s="2"/>
      <c r="VFP22" s="2"/>
      <c r="VFQ22" s="2"/>
      <c r="VFR22" s="2"/>
      <c r="VFS22" s="2"/>
      <c r="VFT22" s="2"/>
      <c r="VFU22" s="2"/>
      <c r="VFV22" s="2"/>
      <c r="VFW22" s="2"/>
      <c r="VFX22" s="2"/>
      <c r="VFY22" s="2"/>
      <c r="VFZ22" s="2"/>
      <c r="VGA22" s="2"/>
      <c r="VGB22" s="2"/>
      <c r="VGC22" s="2"/>
      <c r="VGD22" s="2"/>
      <c r="VGE22" s="2"/>
      <c r="VGF22" s="2"/>
      <c r="VGG22" s="2"/>
      <c r="VGH22" s="2"/>
      <c r="VGI22" s="2"/>
      <c r="VGJ22" s="2"/>
      <c r="VGK22" s="2"/>
      <c r="VGL22" s="2"/>
      <c r="VGM22" s="2"/>
      <c r="VGN22" s="2"/>
      <c r="VGO22" s="2"/>
      <c r="VGP22" s="2"/>
      <c r="VGQ22" s="2"/>
      <c r="VGR22" s="2"/>
      <c r="VGS22" s="2"/>
      <c r="VGT22" s="2"/>
      <c r="VGU22" s="2"/>
      <c r="VGV22" s="2"/>
      <c r="VGW22" s="2"/>
      <c r="VGX22" s="2"/>
      <c r="VGY22" s="2"/>
      <c r="VGZ22" s="2"/>
      <c r="VHA22" s="2"/>
      <c r="VHB22" s="2"/>
      <c r="VHC22" s="2"/>
      <c r="VHD22" s="2"/>
      <c r="VHE22" s="2"/>
      <c r="VHF22" s="2"/>
      <c r="VHG22" s="2"/>
      <c r="VHH22" s="2"/>
      <c r="VHI22" s="2"/>
      <c r="VHJ22" s="2"/>
      <c r="VHK22" s="2"/>
      <c r="VHL22" s="2"/>
      <c r="VHM22" s="2"/>
      <c r="VHN22" s="2"/>
      <c r="VHO22" s="2"/>
      <c r="VHP22" s="2"/>
      <c r="VHQ22" s="2"/>
      <c r="VHR22" s="2"/>
      <c r="VHS22" s="2"/>
      <c r="VHT22" s="2"/>
      <c r="VHU22" s="2"/>
      <c r="VHV22" s="2"/>
      <c r="VHW22" s="2"/>
      <c r="VHX22" s="2"/>
      <c r="VHY22" s="2"/>
      <c r="VHZ22" s="2"/>
      <c r="VIA22" s="2"/>
      <c r="VIB22" s="2"/>
      <c r="VIC22" s="2"/>
      <c r="VID22" s="2"/>
      <c r="VIE22" s="2"/>
      <c r="VIF22" s="2"/>
      <c r="VIG22" s="2"/>
      <c r="VIH22" s="2"/>
      <c r="VII22" s="2"/>
      <c r="VIJ22" s="2"/>
      <c r="VIK22" s="2"/>
      <c r="VIL22" s="2"/>
      <c r="VIM22" s="2"/>
      <c r="VIN22" s="2"/>
      <c r="VIO22" s="2"/>
      <c r="VIP22" s="2"/>
      <c r="VIQ22" s="2"/>
      <c r="VIR22" s="2"/>
      <c r="VIS22" s="2"/>
      <c r="VIT22" s="2"/>
      <c r="VIU22" s="2"/>
      <c r="VIV22" s="2"/>
      <c r="VIW22" s="2"/>
      <c r="VIX22" s="2"/>
      <c r="VIY22" s="2"/>
      <c r="VIZ22" s="2"/>
      <c r="VJA22" s="2"/>
      <c r="VJB22" s="2"/>
      <c r="VJC22" s="2"/>
      <c r="VJD22" s="2"/>
      <c r="VJE22" s="2"/>
      <c r="VJF22" s="2"/>
      <c r="VJG22" s="2"/>
      <c r="VJH22" s="2"/>
      <c r="VJI22" s="2"/>
      <c r="VJJ22" s="2"/>
      <c r="VJK22" s="2"/>
      <c r="VJL22" s="2"/>
      <c r="VJM22" s="2"/>
      <c r="VJN22" s="2"/>
      <c r="VJO22" s="2"/>
      <c r="VJP22" s="2"/>
      <c r="VJQ22" s="2"/>
      <c r="VJR22" s="2"/>
      <c r="VJS22" s="2"/>
      <c r="VJT22" s="2"/>
      <c r="VJU22" s="2"/>
      <c r="VJV22" s="2"/>
      <c r="VJW22" s="2"/>
      <c r="VJX22" s="2"/>
      <c r="VJY22" s="2"/>
      <c r="VJZ22" s="2"/>
      <c r="VKA22" s="2"/>
      <c r="VKB22" s="2"/>
      <c r="VKC22" s="2"/>
      <c r="VKD22" s="2"/>
      <c r="VKE22" s="2"/>
      <c r="VKF22" s="2"/>
      <c r="VKG22" s="2"/>
      <c r="VKH22" s="2"/>
      <c r="VKI22" s="2"/>
      <c r="VKJ22" s="2"/>
      <c r="VKK22" s="2"/>
      <c r="VKL22" s="2"/>
      <c r="VKM22" s="2"/>
      <c r="VKN22" s="2"/>
      <c r="VKO22" s="2"/>
      <c r="VKP22" s="2"/>
      <c r="VKQ22" s="2"/>
      <c r="VKR22" s="2"/>
      <c r="VKS22" s="2"/>
      <c r="VKT22" s="2"/>
      <c r="VKU22" s="2"/>
      <c r="VKV22" s="2"/>
      <c r="VKW22" s="2"/>
      <c r="VKX22" s="2"/>
      <c r="VKY22" s="2"/>
      <c r="VKZ22" s="2"/>
      <c r="VLA22" s="2"/>
      <c r="VLB22" s="2"/>
      <c r="VLC22" s="2"/>
      <c r="VLD22" s="2"/>
      <c r="VLE22" s="2"/>
      <c r="VLF22" s="2"/>
      <c r="VLG22" s="2"/>
      <c r="VLH22" s="2"/>
      <c r="VLI22" s="2"/>
      <c r="VLJ22" s="2"/>
      <c r="VLK22" s="2"/>
      <c r="VLL22" s="2"/>
      <c r="VLM22" s="2"/>
      <c r="VLN22" s="2"/>
      <c r="VLO22" s="2"/>
      <c r="VLP22" s="2"/>
      <c r="VLQ22" s="2"/>
      <c r="VLR22" s="2"/>
      <c r="VLS22" s="2"/>
      <c r="VLT22" s="2"/>
      <c r="VLU22" s="2"/>
      <c r="VLV22" s="2"/>
      <c r="VLW22" s="2"/>
      <c r="VLX22" s="2"/>
      <c r="VLY22" s="2"/>
      <c r="VLZ22" s="2"/>
      <c r="VMA22" s="2"/>
      <c r="VMB22" s="2"/>
      <c r="VMC22" s="2"/>
      <c r="VMD22" s="2"/>
      <c r="VME22" s="2"/>
      <c r="VMF22" s="2"/>
      <c r="VMG22" s="2"/>
      <c r="VMH22" s="2"/>
      <c r="VMI22" s="2"/>
      <c r="VMJ22" s="2"/>
      <c r="VMK22" s="2"/>
      <c r="VML22" s="2"/>
      <c r="VMM22" s="2"/>
      <c r="VMN22" s="2"/>
      <c r="VMO22" s="2"/>
      <c r="VMP22" s="2"/>
      <c r="VMQ22" s="2"/>
      <c r="VMR22" s="2"/>
      <c r="VMS22" s="2"/>
      <c r="VMT22" s="2"/>
      <c r="VMU22" s="2"/>
      <c r="VMV22" s="2"/>
      <c r="VMW22" s="2"/>
      <c r="VMX22" s="2"/>
      <c r="VMY22" s="2"/>
      <c r="VMZ22" s="2"/>
      <c r="VNA22" s="2"/>
      <c r="VNB22" s="2"/>
      <c r="VNC22" s="2"/>
      <c r="VND22" s="2"/>
      <c r="VNE22" s="2"/>
      <c r="VNF22" s="2"/>
      <c r="VNG22" s="2"/>
      <c r="VNH22" s="2"/>
      <c r="VNI22" s="2"/>
      <c r="VNJ22" s="2"/>
      <c r="VNK22" s="2"/>
      <c r="VNL22" s="2"/>
      <c r="VNM22" s="2"/>
      <c r="VNN22" s="2"/>
      <c r="VNO22" s="2"/>
      <c r="VNP22" s="2"/>
      <c r="VNQ22" s="2"/>
      <c r="VNR22" s="2"/>
      <c r="VNS22" s="2"/>
      <c r="VNT22" s="2"/>
      <c r="VNU22" s="2"/>
      <c r="VNV22" s="2"/>
      <c r="VNW22" s="2"/>
      <c r="VNX22" s="2"/>
      <c r="VNY22" s="2"/>
      <c r="VNZ22" s="2"/>
      <c r="VOA22" s="2"/>
      <c r="VOB22" s="2"/>
      <c r="VOC22" s="2"/>
      <c r="VOD22" s="2"/>
      <c r="VOE22" s="2"/>
      <c r="VOF22" s="2"/>
      <c r="VOG22" s="2"/>
      <c r="VOH22" s="2"/>
      <c r="VOI22" s="2"/>
      <c r="VOJ22" s="2"/>
      <c r="VOK22" s="2"/>
      <c r="VOL22" s="2"/>
      <c r="VOM22" s="2"/>
      <c r="VON22" s="2"/>
      <c r="VOO22" s="2"/>
      <c r="VOP22" s="2"/>
      <c r="VOQ22" s="2"/>
      <c r="VOR22" s="2"/>
      <c r="VOS22" s="2"/>
      <c r="VOT22" s="2"/>
      <c r="VOU22" s="2"/>
      <c r="VOV22" s="2"/>
      <c r="VOW22" s="2"/>
      <c r="VOX22" s="2"/>
      <c r="VOY22" s="2"/>
      <c r="VOZ22" s="2"/>
      <c r="VPA22" s="2"/>
      <c r="VPB22" s="2"/>
      <c r="VPC22" s="2"/>
      <c r="VPD22" s="2"/>
      <c r="VPE22" s="2"/>
      <c r="VPF22" s="2"/>
      <c r="VPG22" s="2"/>
      <c r="VPH22" s="2"/>
      <c r="VPI22" s="2"/>
      <c r="VPJ22" s="2"/>
      <c r="VPK22" s="2"/>
      <c r="VPL22" s="2"/>
      <c r="VPM22" s="2"/>
      <c r="VPN22" s="2"/>
      <c r="VPO22" s="2"/>
      <c r="VPP22" s="2"/>
      <c r="VPQ22" s="2"/>
      <c r="VPR22" s="2"/>
      <c r="VPS22" s="2"/>
      <c r="VPT22" s="2"/>
      <c r="VPU22" s="2"/>
      <c r="VPV22" s="2"/>
      <c r="VPW22" s="2"/>
      <c r="VPX22" s="2"/>
      <c r="VPY22" s="2"/>
      <c r="VPZ22" s="2"/>
      <c r="VQA22" s="2"/>
      <c r="VQB22" s="2"/>
      <c r="VQC22" s="2"/>
      <c r="VQD22" s="2"/>
      <c r="VQE22" s="2"/>
      <c r="VQF22" s="2"/>
      <c r="VQG22" s="2"/>
      <c r="VQH22" s="2"/>
      <c r="VQI22" s="2"/>
      <c r="VQJ22" s="2"/>
      <c r="VQK22" s="2"/>
      <c r="VQL22" s="2"/>
      <c r="VQM22" s="2"/>
      <c r="VQN22" s="2"/>
      <c r="VQO22" s="2"/>
      <c r="VQP22" s="2"/>
      <c r="VQQ22" s="2"/>
      <c r="VQR22" s="2"/>
      <c r="VQS22" s="2"/>
      <c r="VQT22" s="2"/>
      <c r="VQU22" s="2"/>
      <c r="VQV22" s="2"/>
      <c r="VQW22" s="2"/>
      <c r="VQX22" s="2"/>
      <c r="VQY22" s="2"/>
      <c r="VQZ22" s="2"/>
      <c r="VRA22" s="2"/>
      <c r="VRB22" s="2"/>
      <c r="VRC22" s="2"/>
      <c r="VRD22" s="2"/>
      <c r="VRE22" s="2"/>
      <c r="VRF22" s="2"/>
      <c r="VRG22" s="2"/>
      <c r="VRH22" s="2"/>
      <c r="VRI22" s="2"/>
      <c r="VRJ22" s="2"/>
      <c r="VRK22" s="2"/>
      <c r="VRL22" s="2"/>
      <c r="VRM22" s="2"/>
      <c r="VRN22" s="2"/>
      <c r="VRO22" s="2"/>
      <c r="VRP22" s="2"/>
      <c r="VRQ22" s="2"/>
      <c r="VRR22" s="2"/>
      <c r="VRS22" s="2"/>
      <c r="VRT22" s="2"/>
      <c r="VRU22" s="2"/>
      <c r="VRV22" s="2"/>
      <c r="VRW22" s="2"/>
      <c r="VRX22" s="2"/>
      <c r="VRY22" s="2"/>
      <c r="VRZ22" s="2"/>
      <c r="VSA22" s="2"/>
      <c r="VSB22" s="2"/>
      <c r="VSC22" s="2"/>
      <c r="VSD22" s="2"/>
      <c r="VSE22" s="2"/>
      <c r="VSF22" s="2"/>
      <c r="VSG22" s="2"/>
      <c r="VSH22" s="2"/>
      <c r="VSI22" s="2"/>
      <c r="VSJ22" s="2"/>
      <c r="VSK22" s="2"/>
      <c r="VSL22" s="2"/>
      <c r="VSM22" s="2"/>
      <c r="VSN22" s="2"/>
      <c r="VSO22" s="2"/>
      <c r="VSP22" s="2"/>
      <c r="VSQ22" s="2"/>
      <c r="VSR22" s="2"/>
      <c r="VSS22" s="2"/>
      <c r="VST22" s="2"/>
      <c r="VSU22" s="2"/>
      <c r="VSV22" s="2"/>
      <c r="VSW22" s="2"/>
      <c r="VSX22" s="2"/>
      <c r="VSY22" s="2"/>
      <c r="VSZ22" s="2"/>
      <c r="VTA22" s="2"/>
      <c r="VTB22" s="2"/>
      <c r="VTC22" s="2"/>
      <c r="VTD22" s="2"/>
      <c r="VTE22" s="2"/>
      <c r="VTF22" s="2"/>
      <c r="VTG22" s="2"/>
      <c r="VTH22" s="2"/>
      <c r="VTI22" s="2"/>
      <c r="VTJ22" s="2"/>
      <c r="VTK22" s="2"/>
      <c r="VTL22" s="2"/>
      <c r="VTM22" s="2"/>
      <c r="VTN22" s="2"/>
      <c r="VTO22" s="2"/>
      <c r="VTP22" s="2"/>
      <c r="VTQ22" s="2"/>
      <c r="VTR22" s="2"/>
      <c r="VTS22" s="2"/>
      <c r="VTT22" s="2"/>
      <c r="VTU22" s="2"/>
      <c r="VTV22" s="2"/>
      <c r="VTW22" s="2"/>
      <c r="VTX22" s="2"/>
      <c r="VTY22" s="2"/>
      <c r="VTZ22" s="2"/>
      <c r="VUA22" s="2"/>
      <c r="VUB22" s="2"/>
      <c r="VUC22" s="2"/>
      <c r="VUD22" s="2"/>
      <c r="VUE22" s="2"/>
      <c r="VUF22" s="2"/>
      <c r="VUG22" s="2"/>
      <c r="VUH22" s="2"/>
      <c r="VUI22" s="2"/>
      <c r="VUJ22" s="2"/>
      <c r="VUK22" s="2"/>
      <c r="VUL22" s="2"/>
      <c r="VUM22" s="2"/>
      <c r="VUN22" s="2"/>
      <c r="VUO22" s="2"/>
      <c r="VUP22" s="2"/>
      <c r="VUQ22" s="2"/>
      <c r="VUR22" s="2"/>
      <c r="VUS22" s="2"/>
      <c r="VUT22" s="2"/>
      <c r="VUU22" s="2"/>
      <c r="VUV22" s="2"/>
      <c r="VUW22" s="2"/>
      <c r="VUX22" s="2"/>
      <c r="VUY22" s="2"/>
      <c r="VUZ22" s="2"/>
      <c r="VVA22" s="2"/>
      <c r="VVB22" s="2"/>
      <c r="VVC22" s="2"/>
      <c r="VVD22" s="2"/>
      <c r="VVE22" s="2"/>
      <c r="VVF22" s="2"/>
      <c r="VVG22" s="2"/>
      <c r="VVH22" s="2"/>
      <c r="VVI22" s="2"/>
      <c r="VVJ22" s="2"/>
      <c r="VVK22" s="2"/>
      <c r="VVL22" s="2"/>
      <c r="VVM22" s="2"/>
      <c r="VVN22" s="2"/>
      <c r="VVO22" s="2"/>
      <c r="VVP22" s="2"/>
      <c r="VVQ22" s="2"/>
      <c r="VVR22" s="2"/>
      <c r="VVS22" s="2"/>
      <c r="VVT22" s="2"/>
      <c r="VVU22" s="2"/>
      <c r="VVV22" s="2"/>
      <c r="VVW22" s="2"/>
      <c r="VVX22" s="2"/>
      <c r="VVY22" s="2"/>
      <c r="VVZ22" s="2"/>
      <c r="VWA22" s="2"/>
      <c r="VWB22" s="2"/>
      <c r="VWC22" s="2"/>
      <c r="VWD22" s="2"/>
      <c r="VWE22" s="2"/>
      <c r="VWF22" s="2"/>
      <c r="VWG22" s="2"/>
      <c r="VWH22" s="2"/>
      <c r="VWI22" s="2"/>
      <c r="VWJ22" s="2"/>
      <c r="VWK22" s="2"/>
      <c r="VWL22" s="2"/>
      <c r="VWM22" s="2"/>
      <c r="VWN22" s="2"/>
      <c r="VWO22" s="2"/>
      <c r="VWP22" s="2"/>
      <c r="VWQ22" s="2"/>
      <c r="VWR22" s="2"/>
      <c r="VWS22" s="2"/>
      <c r="VWT22" s="2"/>
      <c r="VWU22" s="2"/>
      <c r="VWV22" s="2"/>
      <c r="VWW22" s="2"/>
      <c r="VWX22" s="2"/>
      <c r="VWY22" s="2"/>
      <c r="VWZ22" s="2"/>
      <c r="VXA22" s="2"/>
      <c r="VXB22" s="2"/>
      <c r="VXC22" s="2"/>
      <c r="VXD22" s="2"/>
      <c r="VXE22" s="2"/>
      <c r="VXF22" s="2"/>
      <c r="VXG22" s="2"/>
      <c r="VXH22" s="2"/>
      <c r="VXI22" s="2"/>
      <c r="VXJ22" s="2"/>
      <c r="VXK22" s="2"/>
      <c r="VXL22" s="2"/>
      <c r="VXM22" s="2"/>
      <c r="VXN22" s="2"/>
      <c r="VXO22" s="2"/>
      <c r="VXP22" s="2"/>
      <c r="VXQ22" s="2"/>
      <c r="VXR22" s="2"/>
      <c r="VXS22" s="2"/>
      <c r="VXT22" s="2"/>
      <c r="VXU22" s="2"/>
      <c r="VXV22" s="2"/>
      <c r="VXW22" s="2"/>
      <c r="VXX22" s="2"/>
      <c r="VXY22" s="2"/>
      <c r="VXZ22" s="2"/>
      <c r="VYA22" s="2"/>
      <c r="VYB22" s="2"/>
      <c r="VYC22" s="2"/>
      <c r="VYD22" s="2"/>
      <c r="VYE22" s="2"/>
      <c r="VYF22" s="2"/>
      <c r="VYG22" s="2"/>
      <c r="VYH22" s="2"/>
      <c r="VYI22" s="2"/>
      <c r="VYJ22" s="2"/>
      <c r="VYK22" s="2"/>
      <c r="VYL22" s="2"/>
      <c r="VYM22" s="2"/>
      <c r="VYN22" s="2"/>
      <c r="VYO22" s="2"/>
      <c r="VYP22" s="2"/>
      <c r="VYQ22" s="2"/>
      <c r="VYR22" s="2"/>
      <c r="VYS22" s="2"/>
      <c r="VYT22" s="2"/>
      <c r="VYU22" s="2"/>
      <c r="VYV22" s="2"/>
      <c r="VYW22" s="2"/>
      <c r="VYX22" s="2"/>
      <c r="VYY22" s="2"/>
      <c r="VYZ22" s="2"/>
      <c r="VZA22" s="2"/>
      <c r="VZB22" s="2"/>
      <c r="VZC22" s="2"/>
      <c r="VZD22" s="2"/>
      <c r="VZE22" s="2"/>
      <c r="VZF22" s="2"/>
      <c r="VZG22" s="2"/>
      <c r="VZH22" s="2"/>
      <c r="VZI22" s="2"/>
      <c r="VZJ22" s="2"/>
      <c r="VZK22" s="2"/>
      <c r="VZL22" s="2"/>
      <c r="VZM22" s="2"/>
      <c r="VZN22" s="2"/>
      <c r="VZO22" s="2"/>
      <c r="VZP22" s="2"/>
      <c r="VZQ22" s="2"/>
      <c r="VZR22" s="2"/>
      <c r="VZS22" s="2"/>
      <c r="VZT22" s="2"/>
      <c r="VZU22" s="2"/>
      <c r="VZV22" s="2"/>
      <c r="VZW22" s="2"/>
      <c r="VZX22" s="2"/>
      <c r="VZY22" s="2"/>
      <c r="VZZ22" s="2"/>
      <c r="WAA22" s="2"/>
      <c r="WAB22" s="2"/>
      <c r="WAC22" s="2"/>
      <c r="WAD22" s="2"/>
      <c r="WAE22" s="2"/>
      <c r="WAF22" s="2"/>
      <c r="WAG22" s="2"/>
      <c r="WAH22" s="2"/>
      <c r="WAI22" s="2"/>
      <c r="WAJ22" s="2"/>
      <c r="WAK22" s="2"/>
      <c r="WAL22" s="2"/>
      <c r="WAM22" s="2"/>
      <c r="WAN22" s="2"/>
      <c r="WAO22" s="2"/>
      <c r="WAP22" s="2"/>
      <c r="WAQ22" s="2"/>
      <c r="WAR22" s="2"/>
      <c r="WAS22" s="2"/>
      <c r="WAT22" s="2"/>
      <c r="WAU22" s="2"/>
      <c r="WAV22" s="2"/>
      <c r="WAW22" s="2"/>
      <c r="WAX22" s="2"/>
      <c r="WAY22" s="2"/>
      <c r="WAZ22" s="2"/>
      <c r="WBA22" s="2"/>
      <c r="WBB22" s="2"/>
      <c r="WBC22" s="2"/>
      <c r="WBD22" s="2"/>
      <c r="WBE22" s="2"/>
      <c r="WBF22" s="2"/>
      <c r="WBG22" s="2"/>
      <c r="WBH22" s="2"/>
      <c r="WBI22" s="2"/>
      <c r="WBJ22" s="2"/>
      <c r="WBK22" s="2"/>
      <c r="WBL22" s="2"/>
      <c r="WBM22" s="2"/>
      <c r="WBN22" s="2"/>
      <c r="WBO22" s="2"/>
      <c r="WBP22" s="2"/>
      <c r="WBQ22" s="2"/>
      <c r="WBR22" s="2"/>
      <c r="WBS22" s="2"/>
      <c r="WBT22" s="2"/>
      <c r="WBU22" s="2"/>
      <c r="WBV22" s="2"/>
      <c r="WBW22" s="2"/>
      <c r="WBX22" s="2"/>
      <c r="WBY22" s="2"/>
      <c r="WBZ22" s="2"/>
      <c r="WCA22" s="2"/>
      <c r="WCB22" s="2"/>
      <c r="WCC22" s="2"/>
      <c r="WCD22" s="2"/>
      <c r="WCE22" s="2"/>
      <c r="WCF22" s="2"/>
      <c r="WCG22" s="2"/>
      <c r="WCH22" s="2"/>
      <c r="WCI22" s="2"/>
      <c r="WCJ22" s="2"/>
      <c r="WCK22" s="2"/>
      <c r="WCL22" s="2"/>
      <c r="WCM22" s="2"/>
      <c r="WCN22" s="2"/>
      <c r="WCO22" s="2"/>
      <c r="WCP22" s="2"/>
      <c r="WCQ22" s="2"/>
      <c r="WCR22" s="2"/>
      <c r="WCS22" s="2"/>
      <c r="WCT22" s="2"/>
      <c r="WCU22" s="2"/>
      <c r="WCV22" s="2"/>
      <c r="WCW22" s="2"/>
      <c r="WCX22" s="2"/>
      <c r="WCY22" s="2"/>
      <c r="WCZ22" s="2"/>
      <c r="WDA22" s="2"/>
      <c r="WDB22" s="2"/>
      <c r="WDC22" s="2"/>
      <c r="WDD22" s="2"/>
      <c r="WDE22" s="2"/>
      <c r="WDF22" s="2"/>
      <c r="WDG22" s="2"/>
      <c r="WDH22" s="2"/>
      <c r="WDI22" s="2"/>
      <c r="WDJ22" s="2"/>
      <c r="WDK22" s="2"/>
      <c r="WDL22" s="2"/>
      <c r="WDM22" s="2"/>
      <c r="WDN22" s="2"/>
      <c r="WDO22" s="2"/>
      <c r="WDP22" s="2"/>
      <c r="WDQ22" s="2"/>
      <c r="WDR22" s="2"/>
      <c r="WDS22" s="2"/>
      <c r="WDT22" s="2"/>
      <c r="WDU22" s="2"/>
      <c r="WDV22" s="2"/>
      <c r="WDW22" s="2"/>
      <c r="WDX22" s="2"/>
      <c r="WDY22" s="2"/>
      <c r="WDZ22" s="2"/>
      <c r="WEA22" s="2"/>
      <c r="WEB22" s="2"/>
      <c r="WEC22" s="2"/>
      <c r="WED22" s="2"/>
      <c r="WEE22" s="2"/>
      <c r="WEF22" s="2"/>
      <c r="WEG22" s="2"/>
      <c r="WEH22" s="2"/>
      <c r="WEI22" s="2"/>
      <c r="WEJ22" s="2"/>
      <c r="WEK22" s="2"/>
      <c r="WEL22" s="2"/>
      <c r="WEM22" s="2"/>
      <c r="WEN22" s="2"/>
      <c r="WEO22" s="2"/>
      <c r="WEP22" s="2"/>
      <c r="WEQ22" s="2"/>
      <c r="WER22" s="2"/>
      <c r="WES22" s="2"/>
      <c r="WET22" s="2"/>
      <c r="WEU22" s="2"/>
      <c r="WEV22" s="2"/>
      <c r="WEW22" s="2"/>
      <c r="WEX22" s="2"/>
      <c r="WEY22" s="2"/>
      <c r="WEZ22" s="2"/>
      <c r="WFA22" s="2"/>
      <c r="WFB22" s="2"/>
      <c r="WFC22" s="2"/>
      <c r="WFD22" s="2"/>
      <c r="WFE22" s="2"/>
      <c r="WFF22" s="2"/>
      <c r="WFG22" s="2"/>
      <c r="WFH22" s="2"/>
      <c r="WFI22" s="2"/>
      <c r="WFJ22" s="2"/>
      <c r="WFK22" s="2"/>
      <c r="WFL22" s="2"/>
      <c r="WFM22" s="2"/>
      <c r="WFN22" s="2"/>
      <c r="WFO22" s="2"/>
      <c r="WFP22" s="2"/>
      <c r="WFQ22" s="2"/>
      <c r="WFR22" s="2"/>
      <c r="WFS22" s="2"/>
      <c r="WFT22" s="2"/>
      <c r="WFU22" s="2"/>
      <c r="WFV22" s="2"/>
      <c r="WFW22" s="2"/>
      <c r="WFX22" s="2"/>
      <c r="WFY22" s="2"/>
      <c r="WFZ22" s="2"/>
      <c r="WGA22" s="2"/>
      <c r="WGB22" s="2"/>
      <c r="WGC22" s="2"/>
      <c r="WGD22" s="2"/>
      <c r="WGE22" s="2"/>
      <c r="WGF22" s="2"/>
      <c r="WGG22" s="2"/>
      <c r="WGH22" s="2"/>
      <c r="WGI22" s="2"/>
      <c r="WGJ22" s="2"/>
      <c r="WGK22" s="2"/>
      <c r="WGL22" s="2"/>
      <c r="WGM22" s="2"/>
      <c r="WGN22" s="2"/>
      <c r="WGO22" s="2"/>
      <c r="WGP22" s="2"/>
      <c r="WGQ22" s="2"/>
      <c r="WGR22" s="2"/>
      <c r="WGS22" s="2"/>
      <c r="WGT22" s="2"/>
      <c r="WGU22" s="2"/>
      <c r="WGV22" s="2"/>
      <c r="WGW22" s="2"/>
      <c r="WGX22" s="2"/>
      <c r="WGY22" s="2"/>
      <c r="WGZ22" s="2"/>
      <c r="WHA22" s="2"/>
      <c r="WHB22" s="2"/>
      <c r="WHC22" s="2"/>
      <c r="WHD22" s="2"/>
      <c r="WHE22" s="2"/>
      <c r="WHF22" s="2"/>
      <c r="WHG22" s="2"/>
      <c r="WHH22" s="2"/>
      <c r="WHI22" s="2"/>
      <c r="WHJ22" s="2"/>
      <c r="WHK22" s="2"/>
      <c r="WHL22" s="2"/>
      <c r="WHM22" s="2"/>
      <c r="WHN22" s="2"/>
      <c r="WHO22" s="2"/>
      <c r="WHP22" s="2"/>
      <c r="WHQ22" s="2"/>
      <c r="WHR22" s="2"/>
      <c r="WHS22" s="2"/>
      <c r="WHT22" s="2"/>
      <c r="WHU22" s="2"/>
      <c r="WHV22" s="2"/>
      <c r="WHW22" s="2"/>
      <c r="WHX22" s="2"/>
      <c r="WHY22" s="2"/>
      <c r="WHZ22" s="2"/>
      <c r="WIA22" s="2"/>
      <c r="WIB22" s="2"/>
      <c r="WIC22" s="2"/>
      <c r="WID22" s="2"/>
      <c r="WIE22" s="2"/>
      <c r="WIF22" s="2"/>
      <c r="WIG22" s="2"/>
      <c r="WIH22" s="2"/>
      <c r="WII22" s="2"/>
      <c r="WIJ22" s="2"/>
      <c r="WIK22" s="2"/>
      <c r="WIL22" s="2"/>
      <c r="WIM22" s="2"/>
      <c r="WIN22" s="2"/>
      <c r="WIO22" s="2"/>
      <c r="WIP22" s="2"/>
      <c r="WIQ22" s="2"/>
      <c r="WIR22" s="2"/>
      <c r="WIS22" s="2"/>
      <c r="WIT22" s="2"/>
      <c r="WIU22" s="2"/>
      <c r="WIV22" s="2"/>
      <c r="WIW22" s="2"/>
      <c r="WIX22" s="2"/>
      <c r="WIY22" s="2"/>
      <c r="WIZ22" s="2"/>
      <c r="WJA22" s="2"/>
      <c r="WJB22" s="2"/>
      <c r="WJC22" s="2"/>
      <c r="WJD22" s="2"/>
      <c r="WJE22" s="2"/>
      <c r="WJF22" s="2"/>
      <c r="WJG22" s="2"/>
      <c r="WJH22" s="2"/>
      <c r="WJI22" s="2"/>
      <c r="WJJ22" s="2"/>
      <c r="WJK22" s="2"/>
      <c r="WJL22" s="2"/>
      <c r="WJM22" s="2"/>
      <c r="WJN22" s="2"/>
      <c r="WJO22" s="2"/>
      <c r="WJP22" s="2"/>
      <c r="WJQ22" s="2"/>
      <c r="WJR22" s="2"/>
      <c r="WJS22" s="2"/>
      <c r="WJT22" s="2"/>
      <c r="WJU22" s="2"/>
      <c r="WJV22" s="2"/>
      <c r="WJW22" s="2"/>
      <c r="WJX22" s="2"/>
      <c r="WJY22" s="2"/>
      <c r="WJZ22" s="2"/>
      <c r="WKA22" s="2"/>
      <c r="WKB22" s="2"/>
      <c r="WKC22" s="2"/>
      <c r="WKD22" s="2"/>
      <c r="WKE22" s="2"/>
      <c r="WKF22" s="2"/>
      <c r="WKG22" s="2"/>
      <c r="WKH22" s="2"/>
      <c r="WKI22" s="2"/>
      <c r="WKJ22" s="2"/>
      <c r="WKK22" s="2"/>
      <c r="WKL22" s="2"/>
      <c r="WKM22" s="2"/>
      <c r="WKN22" s="2"/>
      <c r="WKO22" s="2"/>
      <c r="WKP22" s="2"/>
      <c r="WKQ22" s="2"/>
      <c r="WKR22" s="2"/>
      <c r="WKS22" s="2"/>
      <c r="WKT22" s="2"/>
      <c r="WKU22" s="2"/>
      <c r="WKV22" s="2"/>
      <c r="WKW22" s="2"/>
      <c r="WKX22" s="2"/>
      <c r="WKY22" s="2"/>
      <c r="WKZ22" s="2"/>
      <c r="WLA22" s="2"/>
      <c r="WLB22" s="2"/>
      <c r="WLC22" s="2"/>
      <c r="WLD22" s="2"/>
      <c r="WLE22" s="2"/>
      <c r="WLF22" s="2"/>
      <c r="WLG22" s="2"/>
      <c r="WLH22" s="2"/>
      <c r="WLI22" s="2"/>
      <c r="WLJ22" s="2"/>
      <c r="WLK22" s="2"/>
      <c r="WLL22" s="2"/>
      <c r="WLM22" s="2"/>
      <c r="WLN22" s="2"/>
      <c r="WLO22" s="2"/>
      <c r="WLP22" s="2"/>
      <c r="WLQ22" s="2"/>
      <c r="WLR22" s="2"/>
      <c r="WLS22" s="2"/>
      <c r="WLT22" s="2"/>
      <c r="WLU22" s="2"/>
      <c r="WLV22" s="2"/>
      <c r="WLW22" s="2"/>
      <c r="WLX22" s="2"/>
      <c r="WLY22" s="2"/>
      <c r="WLZ22" s="2"/>
      <c r="WMA22" s="2"/>
      <c r="WMB22" s="2"/>
      <c r="WMC22" s="2"/>
      <c r="WMD22" s="2"/>
      <c r="WME22" s="2"/>
      <c r="WMF22" s="2"/>
      <c r="WMG22" s="2"/>
      <c r="WMH22" s="2"/>
      <c r="WMI22" s="2"/>
      <c r="WMJ22" s="2"/>
      <c r="WMK22" s="2"/>
      <c r="WML22" s="2"/>
      <c r="WMM22" s="2"/>
      <c r="WMN22" s="2"/>
      <c r="WMO22" s="2"/>
      <c r="WMP22" s="2"/>
      <c r="WMQ22" s="2"/>
      <c r="WMR22" s="2"/>
      <c r="WMS22" s="2"/>
      <c r="WMT22" s="2"/>
      <c r="WMU22" s="2"/>
      <c r="WMV22" s="2"/>
      <c r="WMW22" s="2"/>
      <c r="WMX22" s="2"/>
      <c r="WMY22" s="2"/>
      <c r="WMZ22" s="2"/>
      <c r="WNA22" s="2"/>
      <c r="WNB22" s="2"/>
      <c r="WNC22" s="2"/>
      <c r="WND22" s="2"/>
      <c r="WNE22" s="2"/>
      <c r="WNF22" s="2"/>
      <c r="WNG22" s="2"/>
      <c r="WNH22" s="2"/>
      <c r="WNI22" s="2"/>
      <c r="WNJ22" s="2"/>
      <c r="WNK22" s="2"/>
      <c r="WNL22" s="2"/>
      <c r="WNM22" s="2"/>
      <c r="WNN22" s="2"/>
      <c r="WNO22" s="2"/>
      <c r="WNP22" s="2"/>
      <c r="WNQ22" s="2"/>
      <c r="WNR22" s="2"/>
      <c r="WNS22" s="2"/>
      <c r="WNT22" s="2"/>
      <c r="WNU22" s="2"/>
      <c r="WNV22" s="2"/>
      <c r="WNW22" s="2"/>
      <c r="WNX22" s="2"/>
      <c r="WNY22" s="2"/>
      <c r="WNZ22" s="2"/>
      <c r="WOA22" s="2"/>
      <c r="WOB22" s="2"/>
      <c r="WOC22" s="2"/>
      <c r="WOD22" s="2"/>
      <c r="WOE22" s="2"/>
      <c r="WOF22" s="2"/>
      <c r="WOG22" s="2"/>
      <c r="WOH22" s="2"/>
      <c r="WOI22" s="2"/>
      <c r="WOJ22" s="2"/>
      <c r="WOK22" s="2"/>
      <c r="WOL22" s="2"/>
      <c r="WOM22" s="2"/>
      <c r="WON22" s="2"/>
      <c r="WOO22" s="2"/>
      <c r="WOP22" s="2"/>
      <c r="WOQ22" s="2"/>
      <c r="WOR22" s="2"/>
      <c r="WOS22" s="2"/>
      <c r="WOT22" s="2"/>
      <c r="WOU22" s="2"/>
      <c r="WOV22" s="2"/>
      <c r="WOW22" s="2"/>
      <c r="WOX22" s="2"/>
      <c r="WOY22" s="2"/>
      <c r="WOZ22" s="2"/>
      <c r="WPA22" s="2"/>
      <c r="WPB22" s="2"/>
      <c r="WPC22" s="2"/>
      <c r="WPD22" s="2"/>
      <c r="WPE22" s="2"/>
      <c r="WPF22" s="2"/>
      <c r="WPG22" s="2"/>
      <c r="WPH22" s="2"/>
      <c r="WPI22" s="2"/>
      <c r="WPJ22" s="2"/>
      <c r="WPK22" s="2"/>
      <c r="WPL22" s="2"/>
      <c r="WPM22" s="2"/>
      <c r="WPN22" s="2"/>
      <c r="WPO22" s="2"/>
      <c r="WPP22" s="2"/>
      <c r="WPQ22" s="2"/>
      <c r="WPR22" s="2"/>
      <c r="WPS22" s="2"/>
      <c r="WPT22" s="2"/>
      <c r="WPU22" s="2"/>
      <c r="WPV22" s="2"/>
      <c r="WPW22" s="2"/>
      <c r="WPX22" s="2"/>
      <c r="WPY22" s="2"/>
      <c r="WPZ22" s="2"/>
      <c r="WQA22" s="2"/>
      <c r="WQB22" s="2"/>
      <c r="WQC22" s="2"/>
      <c r="WQD22" s="2"/>
      <c r="WQE22" s="2"/>
      <c r="WQF22" s="2"/>
      <c r="WQG22" s="2"/>
      <c r="WQH22" s="2"/>
      <c r="WQI22" s="2"/>
      <c r="WQJ22" s="2"/>
      <c r="WQK22" s="2"/>
      <c r="WQL22" s="2"/>
      <c r="WQM22" s="2"/>
      <c r="WQN22" s="2"/>
      <c r="WQO22" s="2"/>
      <c r="WQP22" s="2"/>
      <c r="WQQ22" s="2"/>
      <c r="WQR22" s="2"/>
      <c r="WQS22" s="2"/>
      <c r="WQT22" s="2"/>
      <c r="WQU22" s="2"/>
      <c r="WQV22" s="2"/>
      <c r="WQW22" s="2"/>
      <c r="WQX22" s="2"/>
      <c r="WQY22" s="2"/>
      <c r="WQZ22" s="2"/>
      <c r="WRA22" s="2"/>
      <c r="WRB22" s="2"/>
      <c r="WRC22" s="2"/>
      <c r="WRD22" s="2"/>
      <c r="WRE22" s="2"/>
      <c r="WRF22" s="2"/>
      <c r="WRG22" s="2"/>
      <c r="WRH22" s="2"/>
      <c r="WRI22" s="2"/>
      <c r="WRJ22" s="2"/>
      <c r="WRK22" s="2"/>
      <c r="WRL22" s="2"/>
      <c r="WRM22" s="2"/>
      <c r="WRN22" s="2"/>
      <c r="WRO22" s="2"/>
      <c r="WRP22" s="2"/>
      <c r="WRQ22" s="2"/>
      <c r="WRR22" s="2"/>
      <c r="WRS22" s="2"/>
      <c r="WRT22" s="2"/>
      <c r="WRU22" s="2"/>
      <c r="WRV22" s="2"/>
      <c r="WRW22" s="2"/>
      <c r="WRX22" s="2"/>
      <c r="WRY22" s="2"/>
      <c r="WRZ22" s="2"/>
      <c r="WSA22" s="2"/>
      <c r="WSB22" s="2"/>
      <c r="WSC22" s="2"/>
      <c r="WSD22" s="2"/>
      <c r="WSE22" s="2"/>
      <c r="WSF22" s="2"/>
      <c r="WSG22" s="2"/>
      <c r="WSH22" s="2"/>
      <c r="WSI22" s="2"/>
      <c r="WSJ22" s="2"/>
      <c r="WSK22" s="2"/>
      <c r="WSL22" s="2"/>
      <c r="WSM22" s="2"/>
      <c r="WSN22" s="2"/>
      <c r="WSO22" s="2"/>
      <c r="WSP22" s="2"/>
      <c r="WSQ22" s="2"/>
      <c r="WSR22" s="2"/>
      <c r="WSS22" s="2"/>
      <c r="WST22" s="2"/>
      <c r="WSU22" s="2"/>
      <c r="WSV22" s="2"/>
      <c r="WSW22" s="2"/>
      <c r="WSX22" s="2"/>
      <c r="WSY22" s="2"/>
      <c r="WSZ22" s="2"/>
      <c r="WTA22" s="2"/>
      <c r="WTB22" s="2"/>
      <c r="WTC22" s="2"/>
      <c r="WTD22" s="2"/>
      <c r="WTE22" s="2"/>
      <c r="WTF22" s="2"/>
      <c r="WTG22" s="2"/>
      <c r="WTH22" s="2"/>
      <c r="WTI22" s="2"/>
      <c r="WTJ22" s="2"/>
      <c r="WTK22" s="2"/>
      <c r="WTL22" s="2"/>
      <c r="WTM22" s="2"/>
      <c r="WTN22" s="2"/>
      <c r="WTO22" s="2"/>
      <c r="WTP22" s="2"/>
      <c r="WTQ22" s="2"/>
      <c r="WTR22" s="2"/>
      <c r="WTS22" s="2"/>
      <c r="WTT22" s="2"/>
      <c r="WTU22" s="2"/>
      <c r="WTV22" s="2"/>
      <c r="WTW22" s="2"/>
      <c r="WTX22" s="2"/>
      <c r="WTY22" s="2"/>
      <c r="WTZ22" s="2"/>
      <c r="WUA22" s="2"/>
      <c r="WUB22" s="2"/>
      <c r="WUC22" s="2"/>
      <c r="WUD22" s="2"/>
      <c r="WUE22" s="2"/>
      <c r="WUF22" s="2"/>
      <c r="WUG22" s="2"/>
      <c r="WUH22" s="2"/>
      <c r="WUI22" s="2"/>
      <c r="WUJ22" s="2"/>
      <c r="WUK22" s="2"/>
      <c r="WUL22" s="2"/>
      <c r="WUM22" s="2"/>
      <c r="WUN22" s="2"/>
      <c r="WUO22" s="2"/>
      <c r="WUP22" s="2"/>
      <c r="WUQ22" s="2"/>
      <c r="WUR22" s="2"/>
      <c r="WUS22" s="2"/>
      <c r="WUT22" s="2"/>
      <c r="WUU22" s="2"/>
      <c r="WUV22" s="2"/>
      <c r="WUW22" s="2"/>
      <c r="WUX22" s="2"/>
      <c r="WUY22" s="2"/>
      <c r="WUZ22" s="2"/>
      <c r="WVA22" s="2"/>
      <c r="WVB22" s="2"/>
      <c r="WVC22" s="2"/>
      <c r="WVD22" s="2"/>
      <c r="WVE22" s="2"/>
      <c r="WVF22" s="2"/>
      <c r="WVG22" s="2"/>
      <c r="WVH22" s="2"/>
      <c r="WVI22" s="2"/>
      <c r="WVJ22" s="2"/>
      <c r="WVK22" s="2"/>
      <c r="WVL22" s="2"/>
      <c r="WVM22" s="2"/>
      <c r="WVN22" s="2"/>
      <c r="WVO22" s="2"/>
      <c r="WVP22" s="2"/>
      <c r="WVQ22" s="2"/>
      <c r="WVR22" s="2"/>
      <c r="WVS22" s="2"/>
      <c r="WVT22" s="2"/>
      <c r="WVU22" s="2"/>
      <c r="WVV22" s="2"/>
      <c r="WVW22" s="2"/>
      <c r="WVX22" s="2"/>
      <c r="WVY22" s="2"/>
      <c r="WVZ22" s="2"/>
      <c r="WWA22" s="2"/>
      <c r="WWB22" s="2"/>
      <c r="WWC22" s="2"/>
      <c r="WWD22" s="2"/>
      <c r="WWE22" s="2"/>
      <c r="WWF22" s="2"/>
      <c r="WWG22" s="2"/>
      <c r="WWH22" s="2"/>
      <c r="WWI22" s="2"/>
      <c r="WWJ22" s="2"/>
      <c r="WWK22" s="2"/>
      <c r="WWL22" s="2"/>
      <c r="WWM22" s="2"/>
      <c r="WWN22" s="2"/>
      <c r="WWO22" s="2"/>
      <c r="WWP22" s="2"/>
      <c r="WWQ22" s="2"/>
      <c r="WWR22" s="2"/>
      <c r="WWS22" s="2"/>
      <c r="WWT22" s="2"/>
      <c r="WWU22" s="2"/>
      <c r="WWV22" s="2"/>
      <c r="WWW22" s="2"/>
      <c r="WWX22" s="2"/>
      <c r="WWY22" s="2"/>
      <c r="WWZ22" s="2"/>
      <c r="WXA22" s="2"/>
      <c r="WXB22" s="2"/>
      <c r="WXC22" s="2"/>
      <c r="WXD22" s="2"/>
      <c r="WXE22" s="2"/>
      <c r="WXF22" s="2"/>
      <c r="WXG22" s="2"/>
      <c r="WXH22" s="2"/>
      <c r="WXI22" s="2"/>
      <c r="WXJ22" s="2"/>
      <c r="WXK22" s="2"/>
      <c r="WXL22" s="2"/>
      <c r="WXM22" s="2"/>
      <c r="WXN22" s="2"/>
      <c r="WXO22" s="2"/>
      <c r="WXP22" s="2"/>
      <c r="WXQ22" s="2"/>
      <c r="WXR22" s="2"/>
      <c r="WXS22" s="2"/>
      <c r="WXT22" s="2"/>
      <c r="WXU22" s="2"/>
      <c r="WXV22" s="2"/>
      <c r="WXW22" s="2"/>
      <c r="WXX22" s="2"/>
      <c r="WXY22" s="2"/>
      <c r="WXZ22" s="2"/>
      <c r="WYA22" s="2"/>
      <c r="WYB22" s="2"/>
      <c r="WYC22" s="2"/>
      <c r="WYD22" s="2"/>
      <c r="WYE22" s="2"/>
      <c r="WYF22" s="2"/>
      <c r="WYG22" s="2"/>
      <c r="WYH22" s="2"/>
      <c r="WYI22" s="2"/>
      <c r="WYJ22" s="2"/>
      <c r="WYK22" s="2"/>
      <c r="WYL22" s="2"/>
      <c r="WYM22" s="2"/>
      <c r="WYN22" s="2"/>
      <c r="WYO22" s="2"/>
      <c r="WYP22" s="2"/>
      <c r="WYQ22" s="2"/>
      <c r="WYR22" s="2"/>
      <c r="WYS22" s="2"/>
      <c r="WYT22" s="2"/>
      <c r="WYU22" s="2"/>
      <c r="WYV22" s="2"/>
      <c r="WYW22" s="2"/>
      <c r="WYX22" s="2"/>
      <c r="WYY22" s="2"/>
      <c r="WYZ22" s="2"/>
      <c r="WZA22" s="2"/>
      <c r="WZB22" s="2"/>
      <c r="WZC22" s="2"/>
      <c r="WZD22" s="2"/>
      <c r="WZE22" s="2"/>
      <c r="WZF22" s="2"/>
      <c r="WZG22" s="2"/>
      <c r="WZH22" s="2"/>
      <c r="WZI22" s="2"/>
      <c r="WZJ22" s="2"/>
      <c r="WZK22" s="2"/>
      <c r="WZL22" s="2"/>
      <c r="WZM22" s="2"/>
      <c r="WZN22" s="2"/>
      <c r="WZO22" s="2"/>
      <c r="WZP22" s="2"/>
      <c r="WZQ22" s="2"/>
      <c r="WZR22" s="2"/>
      <c r="WZS22" s="2"/>
      <c r="WZT22" s="2"/>
      <c r="WZU22" s="2"/>
      <c r="WZV22" s="2"/>
      <c r="WZW22" s="2"/>
      <c r="WZX22" s="2"/>
      <c r="WZY22" s="2"/>
      <c r="WZZ22" s="2"/>
      <c r="XAA22" s="2"/>
      <c r="XAB22" s="2"/>
      <c r="XAC22" s="2"/>
      <c r="XAD22" s="2"/>
      <c r="XAE22" s="2"/>
      <c r="XAF22" s="2"/>
      <c r="XAG22" s="2"/>
      <c r="XAH22" s="2"/>
      <c r="XAI22" s="2"/>
      <c r="XAJ22" s="2"/>
      <c r="XAK22" s="2"/>
      <c r="XAL22" s="2"/>
      <c r="XAM22" s="2"/>
      <c r="XAN22" s="2"/>
      <c r="XAO22" s="2"/>
      <c r="XAP22" s="2"/>
      <c r="XAQ22" s="2"/>
      <c r="XAR22" s="2"/>
      <c r="XAS22" s="2"/>
      <c r="XAT22" s="2"/>
      <c r="XAU22" s="2"/>
      <c r="XAV22" s="2"/>
      <c r="XAW22" s="2"/>
      <c r="XAX22" s="2"/>
      <c r="XAY22" s="2"/>
      <c r="XAZ22" s="2"/>
      <c r="XBA22" s="2"/>
      <c r="XBB22" s="2"/>
      <c r="XBC22" s="2"/>
      <c r="XBD22" s="2"/>
      <c r="XBE22" s="2"/>
      <c r="XBF22" s="2"/>
      <c r="XBG22" s="2"/>
      <c r="XBH22" s="2"/>
      <c r="XBI22" s="2"/>
      <c r="XBJ22" s="2"/>
      <c r="XBK22" s="2"/>
      <c r="XBL22" s="2"/>
      <c r="XBM22" s="2"/>
      <c r="XBN22" s="2"/>
      <c r="XBO22" s="2"/>
      <c r="XBP22" s="2"/>
      <c r="XBQ22" s="2"/>
      <c r="XBR22" s="2"/>
      <c r="XBS22" s="2"/>
      <c r="XBT22" s="2"/>
      <c r="XBU22" s="2"/>
      <c r="XBV22" s="2"/>
      <c r="XBW22" s="2"/>
      <c r="XBX22" s="2"/>
      <c r="XBY22" s="2"/>
      <c r="XBZ22" s="2"/>
      <c r="XCA22" s="2"/>
      <c r="XCB22" s="2"/>
      <c r="XCC22" s="2"/>
      <c r="XCD22" s="2"/>
      <c r="XCE22" s="2"/>
      <c r="XCF22" s="2"/>
      <c r="XCG22" s="2"/>
      <c r="XCH22" s="2"/>
      <c r="XCI22" s="2"/>
      <c r="XCJ22" s="2"/>
      <c r="XCK22" s="2"/>
      <c r="XCL22" s="2"/>
      <c r="XCM22" s="2"/>
      <c r="XCN22" s="2"/>
      <c r="XCO22" s="2"/>
      <c r="XCP22" s="2"/>
      <c r="XCQ22" s="2"/>
      <c r="XCR22" s="2"/>
      <c r="XCS22" s="2"/>
      <c r="XCT22" s="2"/>
      <c r="XCU22" s="2"/>
      <c r="XCV22" s="2"/>
      <c r="XCW22" s="2"/>
      <c r="XCX22" s="2"/>
      <c r="XCY22" s="2"/>
      <c r="XCZ22" s="2"/>
      <c r="XDA22" s="2"/>
      <c r="XDB22" s="2"/>
      <c r="XDC22" s="2"/>
      <c r="XDD22" s="2"/>
      <c r="XDE22" s="2"/>
      <c r="XDF22" s="2"/>
      <c r="XDG22" s="2"/>
      <c r="XDH22" s="2"/>
      <c r="XDI22" s="2"/>
      <c r="XDJ22" s="2"/>
      <c r="XDK22" s="2"/>
      <c r="XDL22" s="2"/>
      <c r="XDM22" s="2"/>
      <c r="XDN22" s="2"/>
      <c r="XDO22" s="2"/>
      <c r="XDP22" s="2"/>
      <c r="XDQ22" s="2"/>
      <c r="XDR22" s="2"/>
      <c r="XDS22" s="2"/>
      <c r="XDT22" s="2"/>
      <c r="XDU22" s="2"/>
      <c r="XDV22" s="2"/>
      <c r="XDW22" s="2"/>
      <c r="XDX22" s="2"/>
      <c r="XDY22" s="2"/>
      <c r="XDZ22" s="2"/>
      <c r="XEA22" s="2"/>
      <c r="XEB22" s="2"/>
      <c r="XEC22" s="2"/>
      <c r="XED22" s="2"/>
      <c r="XEE22" s="2"/>
      <c r="XEF22" s="2"/>
      <c r="XEG22" s="2"/>
      <c r="XEH22" s="2"/>
      <c r="XEI22" s="2"/>
      <c r="XEJ22" s="2"/>
      <c r="XEK22" s="2"/>
      <c r="XEL22" s="2"/>
      <c r="XEM22" s="2"/>
      <c r="XEN22" s="2"/>
      <c r="XEO22" s="2"/>
      <c r="XEP22" s="2"/>
      <c r="XEQ22" s="2"/>
      <c r="XER22" s="2"/>
      <c r="XES22" s="2"/>
      <c r="XET22" s="2"/>
      <c r="XEU22" s="2"/>
      <c r="XEV22" s="2"/>
      <c r="XEW22" s="2"/>
      <c r="XEX22" s="2"/>
      <c r="XEY22" s="2"/>
      <c r="XEZ22" s="2"/>
      <c r="XFA22" s="2"/>
      <c r="XFB22" s="2"/>
      <c r="XFC22" s="2"/>
    </row>
    <row r="23" spans="1:16383" ht="8.15" hidden="1" customHeight="1" x14ac:dyDescent="0.35">
      <c r="C23" s="452"/>
      <c r="D23" s="452"/>
      <c r="F23" s="452"/>
      <c r="G23" s="452"/>
      <c r="J23" s="452"/>
      <c r="K23" s="452"/>
      <c r="U23" s="452"/>
    </row>
    <row r="24" spans="1:16383" ht="21.75" hidden="1" customHeight="1" x14ac:dyDescent="0.35">
      <c r="F24" s="68" t="s">
        <v>427</v>
      </c>
      <c r="G24" s="39"/>
      <c r="J24" s="68"/>
      <c r="K24" s="39"/>
    </row>
    <row r="25" spans="1:16383" ht="18" hidden="1" customHeight="1" x14ac:dyDescent="0.35">
      <c r="F25" s="288" t="s">
        <v>422</v>
      </c>
      <c r="G25" s="289"/>
      <c r="H25" s="290" t="s">
        <v>423</v>
      </c>
      <c r="I25" s="289"/>
      <c r="J25" s="290" t="s">
        <v>424</v>
      </c>
      <c r="K25" s="289"/>
      <c r="L25" s="290" t="s">
        <v>425</v>
      </c>
      <c r="M25" s="291"/>
    </row>
    <row r="26" spans="1:16383" ht="15.75" hidden="1" customHeight="1" x14ac:dyDescent="0.35">
      <c r="F26" s="248" t="s">
        <v>34</v>
      </c>
      <c r="G26" s="70" t="s">
        <v>4</v>
      </c>
      <c r="H26" s="70" t="s">
        <v>34</v>
      </c>
      <c r="I26" s="70" t="s">
        <v>4</v>
      </c>
      <c r="J26" s="70" t="s">
        <v>34</v>
      </c>
      <c r="K26" s="70" t="s">
        <v>4</v>
      </c>
      <c r="L26" s="70" t="s">
        <v>34</v>
      </c>
      <c r="M26" s="249" t="s">
        <v>4</v>
      </c>
    </row>
    <row r="27" spans="1:16383" ht="12.75" hidden="1" customHeight="1" x14ac:dyDescent="0.35">
      <c r="F27" s="285" t="e">
        <f>(F21-C21)/C21</f>
        <v>#N/A</v>
      </c>
      <c r="G27" s="285" t="e">
        <f>(G21-D21)/D21</f>
        <v>#N/A</v>
      </c>
      <c r="H27" s="285" t="e">
        <f>(H21-C21)/C21</f>
        <v>#N/A</v>
      </c>
      <c r="I27" s="285" t="e">
        <f>(I21-D21)/D21</f>
        <v>#N/A</v>
      </c>
      <c r="J27" s="285" t="e">
        <f>(J21-C21)/C21</f>
        <v>#N/A</v>
      </c>
      <c r="K27" s="285" t="e">
        <f>(K21-D21)/D21</f>
        <v>#N/A</v>
      </c>
      <c r="L27" s="285" t="e">
        <f>(L21-C21)/C21</f>
        <v>#N/A</v>
      </c>
      <c r="M27" s="285" t="e">
        <f>(M21-D21)/D21</f>
        <v>#N/A</v>
      </c>
    </row>
    <row r="28" spans="1:16383" ht="14.25" hidden="1" customHeight="1" x14ac:dyDescent="0.35"/>
    <row r="29" spans="1:16383" hidden="1" x14ac:dyDescent="0.35">
      <c r="F29" s="64"/>
      <c r="G29" s="68"/>
    </row>
    <row r="30" spans="1:16383" hidden="1" x14ac:dyDescent="0.35">
      <c r="F30" s="64"/>
      <c r="G30" s="72"/>
    </row>
  </sheetData>
  <mergeCells count="22">
    <mergeCell ref="J2:K2"/>
    <mergeCell ref="L2:L3"/>
    <mergeCell ref="F9:G9"/>
    <mergeCell ref="H9:I9"/>
    <mergeCell ref="J9:K9"/>
    <mergeCell ref="L9:M9"/>
    <mergeCell ref="B9:B10"/>
    <mergeCell ref="C9:D9"/>
    <mergeCell ref="M2:Q3"/>
    <mergeCell ref="B3:B7"/>
    <mergeCell ref="C4:C7"/>
    <mergeCell ref="D4:D7"/>
    <mergeCell ref="F4:F7"/>
    <mergeCell ref="G4:G7"/>
    <mergeCell ref="M4:Q4"/>
    <mergeCell ref="M5:Q5"/>
    <mergeCell ref="M6:Q6"/>
    <mergeCell ref="M7:Q7"/>
    <mergeCell ref="C2:D2"/>
    <mergeCell ref="F2:G2"/>
    <mergeCell ref="H2:H3"/>
    <mergeCell ref="I2:I3"/>
  </mergeCells>
  <dataValidations count="1">
    <dataValidation type="list" allowBlank="1" showInputMessage="1" showErrorMessage="1" sqref="I27:I28" xr:uid="{E6D94BBA-5D01-4CC2-953D-AE54BB571C28}">
      <formula1>#REF!</formula1>
    </dataValidation>
  </dataValidations>
  <printOptions horizontalCentered="1" verticalCentered="1"/>
  <pageMargins left="0.25" right="0.25" top="0.25" bottom="0.25" header="0.05" footer="0.05"/>
  <pageSetup paperSize="5" scale="36" orientation="portrait"/>
  <headerFooter scaleWithDoc="0"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647C3-4D9A-4E2E-A6A5-3A3CEF8A85CA}">
  <sheetPr>
    <tabColor rgb="FFFFC000"/>
    <pageSetUpPr fitToPage="1"/>
  </sheetPr>
  <dimension ref="A1:E32"/>
  <sheetViews>
    <sheetView topLeftCell="A2" zoomScale="70" zoomScaleNormal="70" zoomScaleSheetLayoutView="80" workbookViewId="0">
      <selection activeCell="B8" sqref="B8"/>
    </sheetView>
  </sheetViews>
  <sheetFormatPr defaultRowHeight="12.5" x14ac:dyDescent="0.25"/>
  <cols>
    <col min="1" max="1" width="25.81640625" style="113" bestFit="1" customWidth="1"/>
    <col min="2" max="2" width="33.453125" style="113" bestFit="1" customWidth="1"/>
    <col min="3" max="3" width="30.7265625" style="113" customWidth="1"/>
    <col min="4" max="4" width="45" style="113" customWidth="1"/>
    <col min="5" max="5" width="2.7265625" style="113" customWidth="1"/>
    <col min="6" max="253" width="8.7265625" style="113"/>
    <col min="254" max="254" width="2.26953125" style="113" customWidth="1"/>
    <col min="255" max="256" width="2.7265625" style="113" customWidth="1"/>
    <col min="257" max="257" width="15.7265625" style="113" customWidth="1"/>
    <col min="258" max="258" width="20.7265625" style="113" customWidth="1"/>
    <col min="259" max="259" width="30.7265625" style="113" customWidth="1"/>
    <col min="260" max="260" width="45" style="113" customWidth="1"/>
    <col min="261" max="261" width="2.7265625" style="113" customWidth="1"/>
    <col min="262" max="509" width="8.7265625" style="113"/>
    <col min="510" max="510" width="2.26953125" style="113" customWidth="1"/>
    <col min="511" max="512" width="2.7265625" style="113" customWidth="1"/>
    <col min="513" max="513" width="15.7265625" style="113" customWidth="1"/>
    <col min="514" max="514" width="20.7265625" style="113" customWidth="1"/>
    <col min="515" max="515" width="30.7265625" style="113" customWidth="1"/>
    <col min="516" max="516" width="45" style="113" customWidth="1"/>
    <col min="517" max="517" width="2.7265625" style="113" customWidth="1"/>
    <col min="518" max="765" width="8.7265625" style="113"/>
    <col min="766" max="766" width="2.26953125" style="113" customWidth="1"/>
    <col min="767" max="768" width="2.7265625" style="113" customWidth="1"/>
    <col min="769" max="769" width="15.7265625" style="113" customWidth="1"/>
    <col min="770" max="770" width="20.7265625" style="113" customWidth="1"/>
    <col min="771" max="771" width="30.7265625" style="113" customWidth="1"/>
    <col min="772" max="772" width="45" style="113" customWidth="1"/>
    <col min="773" max="773" width="2.7265625" style="113" customWidth="1"/>
    <col min="774" max="1021" width="8.7265625" style="113"/>
    <col min="1022" max="1022" width="2.26953125" style="113" customWidth="1"/>
    <col min="1023" max="1024" width="2.7265625" style="113" customWidth="1"/>
    <col min="1025" max="1025" width="15.7265625" style="113" customWidth="1"/>
    <col min="1026" max="1026" width="20.7265625" style="113" customWidth="1"/>
    <col min="1027" max="1027" width="30.7265625" style="113" customWidth="1"/>
    <col min="1028" max="1028" width="45" style="113" customWidth="1"/>
    <col min="1029" max="1029" width="2.7265625" style="113" customWidth="1"/>
    <col min="1030" max="1277" width="8.7265625" style="113"/>
    <col min="1278" max="1278" width="2.26953125" style="113" customWidth="1"/>
    <col min="1279" max="1280" width="2.7265625" style="113" customWidth="1"/>
    <col min="1281" max="1281" width="15.7265625" style="113" customWidth="1"/>
    <col min="1282" max="1282" width="20.7265625" style="113" customWidth="1"/>
    <col min="1283" max="1283" width="30.7265625" style="113" customWidth="1"/>
    <col min="1284" max="1284" width="45" style="113" customWidth="1"/>
    <col min="1285" max="1285" width="2.7265625" style="113" customWidth="1"/>
    <col min="1286" max="1533" width="8.7265625" style="113"/>
    <col min="1534" max="1534" width="2.26953125" style="113" customWidth="1"/>
    <col min="1535" max="1536" width="2.7265625" style="113" customWidth="1"/>
    <col min="1537" max="1537" width="15.7265625" style="113" customWidth="1"/>
    <col min="1538" max="1538" width="20.7265625" style="113" customWidth="1"/>
    <col min="1539" max="1539" width="30.7265625" style="113" customWidth="1"/>
    <col min="1540" max="1540" width="45" style="113" customWidth="1"/>
    <col min="1541" max="1541" width="2.7265625" style="113" customWidth="1"/>
    <col min="1542" max="1789" width="8.7265625" style="113"/>
    <col min="1790" max="1790" width="2.26953125" style="113" customWidth="1"/>
    <col min="1791" max="1792" width="2.7265625" style="113" customWidth="1"/>
    <col min="1793" max="1793" width="15.7265625" style="113" customWidth="1"/>
    <col min="1794" max="1794" width="20.7265625" style="113" customWidth="1"/>
    <col min="1795" max="1795" width="30.7265625" style="113" customWidth="1"/>
    <col min="1796" max="1796" width="45" style="113" customWidth="1"/>
    <col min="1797" max="1797" width="2.7265625" style="113" customWidth="1"/>
    <col min="1798" max="2045" width="8.7265625" style="113"/>
    <col min="2046" max="2046" width="2.26953125" style="113" customWidth="1"/>
    <col min="2047" max="2048" width="2.7265625" style="113" customWidth="1"/>
    <col min="2049" max="2049" width="15.7265625" style="113" customWidth="1"/>
    <col min="2050" max="2050" width="20.7265625" style="113" customWidth="1"/>
    <col min="2051" max="2051" width="30.7265625" style="113" customWidth="1"/>
    <col min="2052" max="2052" width="45" style="113" customWidth="1"/>
    <col min="2053" max="2053" width="2.7265625" style="113" customWidth="1"/>
    <col min="2054" max="2301" width="8.7265625" style="113"/>
    <col min="2302" max="2302" width="2.26953125" style="113" customWidth="1"/>
    <col min="2303" max="2304" width="2.7265625" style="113" customWidth="1"/>
    <col min="2305" max="2305" width="15.7265625" style="113" customWidth="1"/>
    <col min="2306" max="2306" width="20.7265625" style="113" customWidth="1"/>
    <col min="2307" max="2307" width="30.7265625" style="113" customWidth="1"/>
    <col min="2308" max="2308" width="45" style="113" customWidth="1"/>
    <col min="2309" max="2309" width="2.7265625" style="113" customWidth="1"/>
    <col min="2310" max="2557" width="8.7265625" style="113"/>
    <col min="2558" max="2558" width="2.26953125" style="113" customWidth="1"/>
    <col min="2559" max="2560" width="2.7265625" style="113" customWidth="1"/>
    <col min="2561" max="2561" width="15.7265625" style="113" customWidth="1"/>
    <col min="2562" max="2562" width="20.7265625" style="113" customWidth="1"/>
    <col min="2563" max="2563" width="30.7265625" style="113" customWidth="1"/>
    <col min="2564" max="2564" width="45" style="113" customWidth="1"/>
    <col min="2565" max="2565" width="2.7265625" style="113" customWidth="1"/>
    <col min="2566" max="2813" width="8.7265625" style="113"/>
    <col min="2814" max="2814" width="2.26953125" style="113" customWidth="1"/>
    <col min="2815" max="2816" width="2.7265625" style="113" customWidth="1"/>
    <col min="2817" max="2817" width="15.7265625" style="113" customWidth="1"/>
    <col min="2818" max="2818" width="20.7265625" style="113" customWidth="1"/>
    <col min="2819" max="2819" width="30.7265625" style="113" customWidth="1"/>
    <col min="2820" max="2820" width="45" style="113" customWidth="1"/>
    <col min="2821" max="2821" width="2.7265625" style="113" customWidth="1"/>
    <col min="2822" max="3069" width="8.7265625" style="113"/>
    <col min="3070" max="3070" width="2.26953125" style="113" customWidth="1"/>
    <col min="3071" max="3072" width="2.7265625" style="113" customWidth="1"/>
    <col min="3073" max="3073" width="15.7265625" style="113" customWidth="1"/>
    <col min="3074" max="3074" width="20.7265625" style="113" customWidth="1"/>
    <col min="3075" max="3075" width="30.7265625" style="113" customWidth="1"/>
    <col min="3076" max="3076" width="45" style="113" customWidth="1"/>
    <col min="3077" max="3077" width="2.7265625" style="113" customWidth="1"/>
    <col min="3078" max="3325" width="8.7265625" style="113"/>
    <col min="3326" max="3326" width="2.26953125" style="113" customWidth="1"/>
    <col min="3327" max="3328" width="2.7265625" style="113" customWidth="1"/>
    <col min="3329" max="3329" width="15.7265625" style="113" customWidth="1"/>
    <col min="3330" max="3330" width="20.7265625" style="113" customWidth="1"/>
    <col min="3331" max="3331" width="30.7265625" style="113" customWidth="1"/>
    <col min="3332" max="3332" width="45" style="113" customWidth="1"/>
    <col min="3333" max="3333" width="2.7265625" style="113" customWidth="1"/>
    <col min="3334" max="3581" width="8.7265625" style="113"/>
    <col min="3582" max="3582" width="2.26953125" style="113" customWidth="1"/>
    <col min="3583" max="3584" width="2.7265625" style="113" customWidth="1"/>
    <col min="3585" max="3585" width="15.7265625" style="113" customWidth="1"/>
    <col min="3586" max="3586" width="20.7265625" style="113" customWidth="1"/>
    <col min="3587" max="3587" width="30.7265625" style="113" customWidth="1"/>
    <col min="3588" max="3588" width="45" style="113" customWidth="1"/>
    <col min="3589" max="3589" width="2.7265625" style="113" customWidth="1"/>
    <col min="3590" max="3837" width="8.7265625" style="113"/>
    <col min="3838" max="3838" width="2.26953125" style="113" customWidth="1"/>
    <col min="3839" max="3840" width="2.7265625" style="113" customWidth="1"/>
    <col min="3841" max="3841" width="15.7265625" style="113" customWidth="1"/>
    <col min="3842" max="3842" width="20.7265625" style="113" customWidth="1"/>
    <col min="3843" max="3843" width="30.7265625" style="113" customWidth="1"/>
    <col min="3844" max="3844" width="45" style="113" customWidth="1"/>
    <col min="3845" max="3845" width="2.7265625" style="113" customWidth="1"/>
    <col min="3846" max="4093" width="8.7265625" style="113"/>
    <col min="4094" max="4094" width="2.26953125" style="113" customWidth="1"/>
    <col min="4095" max="4096" width="2.7265625" style="113" customWidth="1"/>
    <col min="4097" max="4097" width="15.7265625" style="113" customWidth="1"/>
    <col min="4098" max="4098" width="20.7265625" style="113" customWidth="1"/>
    <col min="4099" max="4099" width="30.7265625" style="113" customWidth="1"/>
    <col min="4100" max="4100" width="45" style="113" customWidth="1"/>
    <col min="4101" max="4101" width="2.7265625" style="113" customWidth="1"/>
    <col min="4102" max="4349" width="8.7265625" style="113"/>
    <col min="4350" max="4350" width="2.26953125" style="113" customWidth="1"/>
    <col min="4351" max="4352" width="2.7265625" style="113" customWidth="1"/>
    <col min="4353" max="4353" width="15.7265625" style="113" customWidth="1"/>
    <col min="4354" max="4354" width="20.7265625" style="113" customWidth="1"/>
    <col min="4355" max="4355" width="30.7265625" style="113" customWidth="1"/>
    <col min="4356" max="4356" width="45" style="113" customWidth="1"/>
    <col min="4357" max="4357" width="2.7265625" style="113" customWidth="1"/>
    <col min="4358" max="4605" width="8.7265625" style="113"/>
    <col min="4606" max="4606" width="2.26953125" style="113" customWidth="1"/>
    <col min="4607" max="4608" width="2.7265625" style="113" customWidth="1"/>
    <col min="4609" max="4609" width="15.7265625" style="113" customWidth="1"/>
    <col min="4610" max="4610" width="20.7265625" style="113" customWidth="1"/>
    <col min="4611" max="4611" width="30.7265625" style="113" customWidth="1"/>
    <col min="4612" max="4612" width="45" style="113" customWidth="1"/>
    <col min="4613" max="4613" width="2.7265625" style="113" customWidth="1"/>
    <col min="4614" max="4861" width="8.7265625" style="113"/>
    <col min="4862" max="4862" width="2.26953125" style="113" customWidth="1"/>
    <col min="4863" max="4864" width="2.7265625" style="113" customWidth="1"/>
    <col min="4865" max="4865" width="15.7265625" style="113" customWidth="1"/>
    <col min="4866" max="4866" width="20.7265625" style="113" customWidth="1"/>
    <col min="4867" max="4867" width="30.7265625" style="113" customWidth="1"/>
    <col min="4868" max="4868" width="45" style="113" customWidth="1"/>
    <col min="4869" max="4869" width="2.7265625" style="113" customWidth="1"/>
    <col min="4870" max="5117" width="8.7265625" style="113"/>
    <col min="5118" max="5118" width="2.26953125" style="113" customWidth="1"/>
    <col min="5119" max="5120" width="2.7265625" style="113" customWidth="1"/>
    <col min="5121" max="5121" width="15.7265625" style="113" customWidth="1"/>
    <col min="5122" max="5122" width="20.7265625" style="113" customWidth="1"/>
    <col min="5123" max="5123" width="30.7265625" style="113" customWidth="1"/>
    <col min="5124" max="5124" width="45" style="113" customWidth="1"/>
    <col min="5125" max="5125" width="2.7265625" style="113" customWidth="1"/>
    <col min="5126" max="5373" width="8.7265625" style="113"/>
    <col min="5374" max="5374" width="2.26953125" style="113" customWidth="1"/>
    <col min="5375" max="5376" width="2.7265625" style="113" customWidth="1"/>
    <col min="5377" max="5377" width="15.7265625" style="113" customWidth="1"/>
    <col min="5378" max="5378" width="20.7265625" style="113" customWidth="1"/>
    <col min="5379" max="5379" width="30.7265625" style="113" customWidth="1"/>
    <col min="5380" max="5380" width="45" style="113" customWidth="1"/>
    <col min="5381" max="5381" width="2.7265625" style="113" customWidth="1"/>
    <col min="5382" max="5629" width="8.7265625" style="113"/>
    <col min="5630" max="5630" width="2.26953125" style="113" customWidth="1"/>
    <col min="5631" max="5632" width="2.7265625" style="113" customWidth="1"/>
    <col min="5633" max="5633" width="15.7265625" style="113" customWidth="1"/>
    <col min="5634" max="5634" width="20.7265625" style="113" customWidth="1"/>
    <col min="5635" max="5635" width="30.7265625" style="113" customWidth="1"/>
    <col min="5636" max="5636" width="45" style="113" customWidth="1"/>
    <col min="5637" max="5637" width="2.7265625" style="113" customWidth="1"/>
    <col min="5638" max="5885" width="8.7265625" style="113"/>
    <col min="5886" max="5886" width="2.26953125" style="113" customWidth="1"/>
    <col min="5887" max="5888" width="2.7265625" style="113" customWidth="1"/>
    <col min="5889" max="5889" width="15.7265625" style="113" customWidth="1"/>
    <col min="5890" max="5890" width="20.7265625" style="113" customWidth="1"/>
    <col min="5891" max="5891" width="30.7265625" style="113" customWidth="1"/>
    <col min="5892" max="5892" width="45" style="113" customWidth="1"/>
    <col min="5893" max="5893" width="2.7265625" style="113" customWidth="1"/>
    <col min="5894" max="6141" width="8.7265625" style="113"/>
    <col min="6142" max="6142" width="2.26953125" style="113" customWidth="1"/>
    <col min="6143" max="6144" width="2.7265625" style="113" customWidth="1"/>
    <col min="6145" max="6145" width="15.7265625" style="113" customWidth="1"/>
    <col min="6146" max="6146" width="20.7265625" style="113" customWidth="1"/>
    <col min="6147" max="6147" width="30.7265625" style="113" customWidth="1"/>
    <col min="6148" max="6148" width="45" style="113" customWidth="1"/>
    <col min="6149" max="6149" width="2.7265625" style="113" customWidth="1"/>
    <col min="6150" max="6397" width="8.7265625" style="113"/>
    <col min="6398" max="6398" width="2.26953125" style="113" customWidth="1"/>
    <col min="6399" max="6400" width="2.7265625" style="113" customWidth="1"/>
    <col min="6401" max="6401" width="15.7265625" style="113" customWidth="1"/>
    <col min="6402" max="6402" width="20.7265625" style="113" customWidth="1"/>
    <col min="6403" max="6403" width="30.7265625" style="113" customWidth="1"/>
    <col min="6404" max="6404" width="45" style="113" customWidth="1"/>
    <col min="6405" max="6405" width="2.7265625" style="113" customWidth="1"/>
    <col min="6406" max="6653" width="8.7265625" style="113"/>
    <col min="6654" max="6654" width="2.26953125" style="113" customWidth="1"/>
    <col min="6655" max="6656" width="2.7265625" style="113" customWidth="1"/>
    <col min="6657" max="6657" width="15.7265625" style="113" customWidth="1"/>
    <col min="6658" max="6658" width="20.7265625" style="113" customWidth="1"/>
    <col min="6659" max="6659" width="30.7265625" style="113" customWidth="1"/>
    <col min="6660" max="6660" width="45" style="113" customWidth="1"/>
    <col min="6661" max="6661" width="2.7265625" style="113" customWidth="1"/>
    <col min="6662" max="6909" width="8.7265625" style="113"/>
    <col min="6910" max="6910" width="2.26953125" style="113" customWidth="1"/>
    <col min="6911" max="6912" width="2.7265625" style="113" customWidth="1"/>
    <col min="6913" max="6913" width="15.7265625" style="113" customWidth="1"/>
    <col min="6914" max="6914" width="20.7265625" style="113" customWidth="1"/>
    <col min="6915" max="6915" width="30.7265625" style="113" customWidth="1"/>
    <col min="6916" max="6916" width="45" style="113" customWidth="1"/>
    <col min="6917" max="6917" width="2.7265625" style="113" customWidth="1"/>
    <col min="6918" max="7165" width="8.7265625" style="113"/>
    <col min="7166" max="7166" width="2.26953125" style="113" customWidth="1"/>
    <col min="7167" max="7168" width="2.7265625" style="113" customWidth="1"/>
    <col min="7169" max="7169" width="15.7265625" style="113" customWidth="1"/>
    <col min="7170" max="7170" width="20.7265625" style="113" customWidth="1"/>
    <col min="7171" max="7171" width="30.7265625" style="113" customWidth="1"/>
    <col min="7172" max="7172" width="45" style="113" customWidth="1"/>
    <col min="7173" max="7173" width="2.7265625" style="113" customWidth="1"/>
    <col min="7174" max="7421" width="8.7265625" style="113"/>
    <col min="7422" max="7422" width="2.26953125" style="113" customWidth="1"/>
    <col min="7423" max="7424" width="2.7265625" style="113" customWidth="1"/>
    <col min="7425" max="7425" width="15.7265625" style="113" customWidth="1"/>
    <col min="7426" max="7426" width="20.7265625" style="113" customWidth="1"/>
    <col min="7427" max="7427" width="30.7265625" style="113" customWidth="1"/>
    <col min="7428" max="7428" width="45" style="113" customWidth="1"/>
    <col min="7429" max="7429" width="2.7265625" style="113" customWidth="1"/>
    <col min="7430" max="7677" width="8.7265625" style="113"/>
    <col min="7678" max="7678" width="2.26953125" style="113" customWidth="1"/>
    <col min="7679" max="7680" width="2.7265625" style="113" customWidth="1"/>
    <col min="7681" max="7681" width="15.7265625" style="113" customWidth="1"/>
    <col min="7682" max="7682" width="20.7265625" style="113" customWidth="1"/>
    <col min="7683" max="7683" width="30.7265625" style="113" customWidth="1"/>
    <col min="7684" max="7684" width="45" style="113" customWidth="1"/>
    <col min="7685" max="7685" width="2.7265625" style="113" customWidth="1"/>
    <col min="7686" max="7933" width="8.7265625" style="113"/>
    <col min="7934" max="7934" width="2.26953125" style="113" customWidth="1"/>
    <col min="7935" max="7936" width="2.7265625" style="113" customWidth="1"/>
    <col min="7937" max="7937" width="15.7265625" style="113" customWidth="1"/>
    <col min="7938" max="7938" width="20.7265625" style="113" customWidth="1"/>
    <col min="7939" max="7939" width="30.7265625" style="113" customWidth="1"/>
    <col min="7940" max="7940" width="45" style="113" customWidth="1"/>
    <col min="7941" max="7941" width="2.7265625" style="113" customWidth="1"/>
    <col min="7942" max="8189" width="8.7265625" style="113"/>
    <col min="8190" max="8190" width="2.26953125" style="113" customWidth="1"/>
    <col min="8191" max="8192" width="2.7265625" style="113" customWidth="1"/>
    <col min="8193" max="8193" width="15.7265625" style="113" customWidth="1"/>
    <col min="8194" max="8194" width="20.7265625" style="113" customWidth="1"/>
    <col min="8195" max="8195" width="30.7265625" style="113" customWidth="1"/>
    <col min="8196" max="8196" width="45" style="113" customWidth="1"/>
    <col min="8197" max="8197" width="2.7265625" style="113" customWidth="1"/>
    <col min="8198" max="8445" width="8.7265625" style="113"/>
    <col min="8446" max="8446" width="2.26953125" style="113" customWidth="1"/>
    <col min="8447" max="8448" width="2.7265625" style="113" customWidth="1"/>
    <col min="8449" max="8449" width="15.7265625" style="113" customWidth="1"/>
    <col min="8450" max="8450" width="20.7265625" style="113" customWidth="1"/>
    <col min="8451" max="8451" width="30.7265625" style="113" customWidth="1"/>
    <col min="8452" max="8452" width="45" style="113" customWidth="1"/>
    <col min="8453" max="8453" width="2.7265625" style="113" customWidth="1"/>
    <col min="8454" max="8701" width="8.7265625" style="113"/>
    <col min="8702" max="8702" width="2.26953125" style="113" customWidth="1"/>
    <col min="8703" max="8704" width="2.7265625" style="113" customWidth="1"/>
    <col min="8705" max="8705" width="15.7265625" style="113" customWidth="1"/>
    <col min="8706" max="8706" width="20.7265625" style="113" customWidth="1"/>
    <col min="8707" max="8707" width="30.7265625" style="113" customWidth="1"/>
    <col min="8708" max="8708" width="45" style="113" customWidth="1"/>
    <col min="8709" max="8709" width="2.7265625" style="113" customWidth="1"/>
    <col min="8710" max="8957" width="8.7265625" style="113"/>
    <col min="8958" max="8958" width="2.26953125" style="113" customWidth="1"/>
    <col min="8959" max="8960" width="2.7265625" style="113" customWidth="1"/>
    <col min="8961" max="8961" width="15.7265625" style="113" customWidth="1"/>
    <col min="8962" max="8962" width="20.7265625" style="113" customWidth="1"/>
    <col min="8963" max="8963" width="30.7265625" style="113" customWidth="1"/>
    <col min="8964" max="8964" width="45" style="113" customWidth="1"/>
    <col min="8965" max="8965" width="2.7265625" style="113" customWidth="1"/>
    <col min="8966" max="9213" width="8.7265625" style="113"/>
    <col min="9214" max="9214" width="2.26953125" style="113" customWidth="1"/>
    <col min="9215" max="9216" width="2.7265625" style="113" customWidth="1"/>
    <col min="9217" max="9217" width="15.7265625" style="113" customWidth="1"/>
    <col min="9218" max="9218" width="20.7265625" style="113" customWidth="1"/>
    <col min="9219" max="9219" width="30.7265625" style="113" customWidth="1"/>
    <col min="9220" max="9220" width="45" style="113" customWidth="1"/>
    <col min="9221" max="9221" width="2.7265625" style="113" customWidth="1"/>
    <col min="9222" max="9469" width="8.7265625" style="113"/>
    <col min="9470" max="9470" width="2.26953125" style="113" customWidth="1"/>
    <col min="9471" max="9472" width="2.7265625" style="113" customWidth="1"/>
    <col min="9473" max="9473" width="15.7265625" style="113" customWidth="1"/>
    <col min="9474" max="9474" width="20.7265625" style="113" customWidth="1"/>
    <col min="9475" max="9475" width="30.7265625" style="113" customWidth="1"/>
    <col min="9476" max="9476" width="45" style="113" customWidth="1"/>
    <col min="9477" max="9477" width="2.7265625" style="113" customWidth="1"/>
    <col min="9478" max="9725" width="8.7265625" style="113"/>
    <col min="9726" max="9726" width="2.26953125" style="113" customWidth="1"/>
    <col min="9727" max="9728" width="2.7265625" style="113" customWidth="1"/>
    <col min="9729" max="9729" width="15.7265625" style="113" customWidth="1"/>
    <col min="9730" max="9730" width="20.7265625" style="113" customWidth="1"/>
    <col min="9731" max="9731" width="30.7265625" style="113" customWidth="1"/>
    <col min="9732" max="9732" width="45" style="113" customWidth="1"/>
    <col min="9733" max="9733" width="2.7265625" style="113" customWidth="1"/>
    <col min="9734" max="9981" width="8.7265625" style="113"/>
    <col min="9982" max="9982" width="2.26953125" style="113" customWidth="1"/>
    <col min="9983" max="9984" width="2.7265625" style="113" customWidth="1"/>
    <col min="9985" max="9985" width="15.7265625" style="113" customWidth="1"/>
    <col min="9986" max="9986" width="20.7265625" style="113" customWidth="1"/>
    <col min="9987" max="9987" width="30.7265625" style="113" customWidth="1"/>
    <col min="9988" max="9988" width="45" style="113" customWidth="1"/>
    <col min="9989" max="9989" width="2.7265625" style="113" customWidth="1"/>
    <col min="9990" max="10237" width="8.7265625" style="113"/>
    <col min="10238" max="10238" width="2.26953125" style="113" customWidth="1"/>
    <col min="10239" max="10240" width="2.7265625" style="113" customWidth="1"/>
    <col min="10241" max="10241" width="15.7265625" style="113" customWidth="1"/>
    <col min="10242" max="10242" width="20.7265625" style="113" customWidth="1"/>
    <col min="10243" max="10243" width="30.7265625" style="113" customWidth="1"/>
    <col min="10244" max="10244" width="45" style="113" customWidth="1"/>
    <col min="10245" max="10245" width="2.7265625" style="113" customWidth="1"/>
    <col min="10246" max="10493" width="8.7265625" style="113"/>
    <col min="10494" max="10494" width="2.26953125" style="113" customWidth="1"/>
    <col min="10495" max="10496" width="2.7265625" style="113" customWidth="1"/>
    <col min="10497" max="10497" width="15.7265625" style="113" customWidth="1"/>
    <col min="10498" max="10498" width="20.7265625" style="113" customWidth="1"/>
    <col min="10499" max="10499" width="30.7265625" style="113" customWidth="1"/>
    <col min="10500" max="10500" width="45" style="113" customWidth="1"/>
    <col min="10501" max="10501" width="2.7265625" style="113" customWidth="1"/>
    <col min="10502" max="10749" width="8.7265625" style="113"/>
    <col min="10750" max="10750" width="2.26953125" style="113" customWidth="1"/>
    <col min="10751" max="10752" width="2.7265625" style="113" customWidth="1"/>
    <col min="10753" max="10753" width="15.7265625" style="113" customWidth="1"/>
    <col min="10754" max="10754" width="20.7265625" style="113" customWidth="1"/>
    <col min="10755" max="10755" width="30.7265625" style="113" customWidth="1"/>
    <col min="10756" max="10756" width="45" style="113" customWidth="1"/>
    <col min="10757" max="10757" width="2.7265625" style="113" customWidth="1"/>
    <col min="10758" max="11005" width="8.7265625" style="113"/>
    <col min="11006" max="11006" width="2.26953125" style="113" customWidth="1"/>
    <col min="11007" max="11008" width="2.7265625" style="113" customWidth="1"/>
    <col min="11009" max="11009" width="15.7265625" style="113" customWidth="1"/>
    <col min="11010" max="11010" width="20.7265625" style="113" customWidth="1"/>
    <col min="11011" max="11011" width="30.7265625" style="113" customWidth="1"/>
    <col min="11012" max="11012" width="45" style="113" customWidth="1"/>
    <col min="11013" max="11013" width="2.7265625" style="113" customWidth="1"/>
    <col min="11014" max="11261" width="8.7265625" style="113"/>
    <col min="11262" max="11262" width="2.26953125" style="113" customWidth="1"/>
    <col min="11263" max="11264" width="2.7265625" style="113" customWidth="1"/>
    <col min="11265" max="11265" width="15.7265625" style="113" customWidth="1"/>
    <col min="11266" max="11266" width="20.7265625" style="113" customWidth="1"/>
    <col min="11267" max="11267" width="30.7265625" style="113" customWidth="1"/>
    <col min="11268" max="11268" width="45" style="113" customWidth="1"/>
    <col min="11269" max="11269" width="2.7265625" style="113" customWidth="1"/>
    <col min="11270" max="11517" width="8.7265625" style="113"/>
    <col min="11518" max="11518" width="2.26953125" style="113" customWidth="1"/>
    <col min="11519" max="11520" width="2.7265625" style="113" customWidth="1"/>
    <col min="11521" max="11521" width="15.7265625" style="113" customWidth="1"/>
    <col min="11522" max="11522" width="20.7265625" style="113" customWidth="1"/>
    <col min="11523" max="11523" width="30.7265625" style="113" customWidth="1"/>
    <col min="11524" max="11524" width="45" style="113" customWidth="1"/>
    <col min="11525" max="11525" width="2.7265625" style="113" customWidth="1"/>
    <col min="11526" max="11773" width="8.7265625" style="113"/>
    <col min="11774" max="11774" width="2.26953125" style="113" customWidth="1"/>
    <col min="11775" max="11776" width="2.7265625" style="113" customWidth="1"/>
    <col min="11777" max="11777" width="15.7265625" style="113" customWidth="1"/>
    <col min="11778" max="11778" width="20.7265625" style="113" customWidth="1"/>
    <col min="11779" max="11779" width="30.7265625" style="113" customWidth="1"/>
    <col min="11780" max="11780" width="45" style="113" customWidth="1"/>
    <col min="11781" max="11781" width="2.7265625" style="113" customWidth="1"/>
    <col min="11782" max="12029" width="8.7265625" style="113"/>
    <col min="12030" max="12030" width="2.26953125" style="113" customWidth="1"/>
    <col min="12031" max="12032" width="2.7265625" style="113" customWidth="1"/>
    <col min="12033" max="12033" width="15.7265625" style="113" customWidth="1"/>
    <col min="12034" max="12034" width="20.7265625" style="113" customWidth="1"/>
    <col min="12035" max="12035" width="30.7265625" style="113" customWidth="1"/>
    <col min="12036" max="12036" width="45" style="113" customWidth="1"/>
    <col min="12037" max="12037" width="2.7265625" style="113" customWidth="1"/>
    <col min="12038" max="12285" width="8.7265625" style="113"/>
    <col min="12286" max="12286" width="2.26953125" style="113" customWidth="1"/>
    <col min="12287" max="12288" width="2.7265625" style="113" customWidth="1"/>
    <col min="12289" max="12289" width="15.7265625" style="113" customWidth="1"/>
    <col min="12290" max="12290" width="20.7265625" style="113" customWidth="1"/>
    <col min="12291" max="12291" width="30.7265625" style="113" customWidth="1"/>
    <col min="12292" max="12292" width="45" style="113" customWidth="1"/>
    <col min="12293" max="12293" width="2.7265625" style="113" customWidth="1"/>
    <col min="12294" max="12541" width="8.7265625" style="113"/>
    <col min="12542" max="12542" width="2.26953125" style="113" customWidth="1"/>
    <col min="12543" max="12544" width="2.7265625" style="113" customWidth="1"/>
    <col min="12545" max="12545" width="15.7265625" style="113" customWidth="1"/>
    <col min="12546" max="12546" width="20.7265625" style="113" customWidth="1"/>
    <col min="12547" max="12547" width="30.7265625" style="113" customWidth="1"/>
    <col min="12548" max="12548" width="45" style="113" customWidth="1"/>
    <col min="12549" max="12549" width="2.7265625" style="113" customWidth="1"/>
    <col min="12550" max="12797" width="8.7265625" style="113"/>
    <col min="12798" max="12798" width="2.26953125" style="113" customWidth="1"/>
    <col min="12799" max="12800" width="2.7265625" style="113" customWidth="1"/>
    <col min="12801" max="12801" width="15.7265625" style="113" customWidth="1"/>
    <col min="12802" max="12802" width="20.7265625" style="113" customWidth="1"/>
    <col min="12803" max="12803" width="30.7265625" style="113" customWidth="1"/>
    <col min="12804" max="12804" width="45" style="113" customWidth="1"/>
    <col min="12805" max="12805" width="2.7265625" style="113" customWidth="1"/>
    <col min="12806" max="13053" width="8.7265625" style="113"/>
    <col min="13054" max="13054" width="2.26953125" style="113" customWidth="1"/>
    <col min="13055" max="13056" width="2.7265625" style="113" customWidth="1"/>
    <col min="13057" max="13057" width="15.7265625" style="113" customWidth="1"/>
    <col min="13058" max="13058" width="20.7265625" style="113" customWidth="1"/>
    <col min="13059" max="13059" width="30.7265625" style="113" customWidth="1"/>
    <col min="13060" max="13060" width="45" style="113" customWidth="1"/>
    <col min="13061" max="13061" width="2.7265625" style="113" customWidth="1"/>
    <col min="13062" max="13309" width="8.7265625" style="113"/>
    <col min="13310" max="13310" width="2.26953125" style="113" customWidth="1"/>
    <col min="13311" max="13312" width="2.7265625" style="113" customWidth="1"/>
    <col min="13313" max="13313" width="15.7265625" style="113" customWidth="1"/>
    <col min="13314" max="13314" width="20.7265625" style="113" customWidth="1"/>
    <col min="13315" max="13315" width="30.7265625" style="113" customWidth="1"/>
    <col min="13316" max="13316" width="45" style="113" customWidth="1"/>
    <col min="13317" max="13317" width="2.7265625" style="113" customWidth="1"/>
    <col min="13318" max="13565" width="8.7265625" style="113"/>
    <col min="13566" max="13566" width="2.26953125" style="113" customWidth="1"/>
    <col min="13567" max="13568" width="2.7265625" style="113" customWidth="1"/>
    <col min="13569" max="13569" width="15.7265625" style="113" customWidth="1"/>
    <col min="13570" max="13570" width="20.7265625" style="113" customWidth="1"/>
    <col min="13571" max="13571" width="30.7265625" style="113" customWidth="1"/>
    <col min="13572" max="13572" width="45" style="113" customWidth="1"/>
    <col min="13573" max="13573" width="2.7265625" style="113" customWidth="1"/>
    <col min="13574" max="13821" width="8.7265625" style="113"/>
    <col min="13822" max="13822" width="2.26953125" style="113" customWidth="1"/>
    <col min="13823" max="13824" width="2.7265625" style="113" customWidth="1"/>
    <col min="13825" max="13825" width="15.7265625" style="113" customWidth="1"/>
    <col min="13826" max="13826" width="20.7265625" style="113" customWidth="1"/>
    <col min="13827" max="13827" width="30.7265625" style="113" customWidth="1"/>
    <col min="13828" max="13828" width="45" style="113" customWidth="1"/>
    <col min="13829" max="13829" width="2.7265625" style="113" customWidth="1"/>
    <col min="13830" max="14077" width="8.7265625" style="113"/>
    <col min="14078" max="14078" width="2.26953125" style="113" customWidth="1"/>
    <col min="14079" max="14080" width="2.7265625" style="113" customWidth="1"/>
    <col min="14081" max="14081" width="15.7265625" style="113" customWidth="1"/>
    <col min="14082" max="14082" width="20.7265625" style="113" customWidth="1"/>
    <col min="14083" max="14083" width="30.7265625" style="113" customWidth="1"/>
    <col min="14084" max="14084" width="45" style="113" customWidth="1"/>
    <col min="14085" max="14085" width="2.7265625" style="113" customWidth="1"/>
    <col min="14086" max="14333" width="8.7265625" style="113"/>
    <col min="14334" max="14334" width="2.26953125" style="113" customWidth="1"/>
    <col min="14335" max="14336" width="2.7265625" style="113" customWidth="1"/>
    <col min="14337" max="14337" width="15.7265625" style="113" customWidth="1"/>
    <col min="14338" max="14338" width="20.7265625" style="113" customWidth="1"/>
    <col min="14339" max="14339" width="30.7265625" style="113" customWidth="1"/>
    <col min="14340" max="14340" width="45" style="113" customWidth="1"/>
    <col min="14341" max="14341" width="2.7265625" style="113" customWidth="1"/>
    <col min="14342" max="14589" width="8.7265625" style="113"/>
    <col min="14590" max="14590" width="2.26953125" style="113" customWidth="1"/>
    <col min="14591" max="14592" width="2.7265625" style="113" customWidth="1"/>
    <col min="14593" max="14593" width="15.7265625" style="113" customWidth="1"/>
    <col min="14594" max="14594" width="20.7265625" style="113" customWidth="1"/>
    <col min="14595" max="14595" width="30.7265625" style="113" customWidth="1"/>
    <col min="14596" max="14596" width="45" style="113" customWidth="1"/>
    <col min="14597" max="14597" width="2.7265625" style="113" customWidth="1"/>
    <col min="14598" max="14845" width="8.7265625" style="113"/>
    <col min="14846" max="14846" width="2.26953125" style="113" customWidth="1"/>
    <col min="14847" max="14848" width="2.7265625" style="113" customWidth="1"/>
    <col min="14849" max="14849" width="15.7265625" style="113" customWidth="1"/>
    <col min="14850" max="14850" width="20.7265625" style="113" customWidth="1"/>
    <col min="14851" max="14851" width="30.7265625" style="113" customWidth="1"/>
    <col min="14852" max="14852" width="45" style="113" customWidth="1"/>
    <col min="14853" max="14853" width="2.7265625" style="113" customWidth="1"/>
    <col min="14854" max="15101" width="8.7265625" style="113"/>
    <col min="15102" max="15102" width="2.26953125" style="113" customWidth="1"/>
    <col min="15103" max="15104" width="2.7265625" style="113" customWidth="1"/>
    <col min="15105" max="15105" width="15.7265625" style="113" customWidth="1"/>
    <col min="15106" max="15106" width="20.7265625" style="113" customWidth="1"/>
    <col min="15107" max="15107" width="30.7265625" style="113" customWidth="1"/>
    <col min="15108" max="15108" width="45" style="113" customWidth="1"/>
    <col min="15109" max="15109" width="2.7265625" style="113" customWidth="1"/>
    <col min="15110" max="15357" width="8.7265625" style="113"/>
    <col min="15358" max="15358" width="2.26953125" style="113" customWidth="1"/>
    <col min="15359" max="15360" width="2.7265625" style="113" customWidth="1"/>
    <col min="15361" max="15361" width="15.7265625" style="113" customWidth="1"/>
    <col min="15362" max="15362" width="20.7265625" style="113" customWidth="1"/>
    <col min="15363" max="15363" width="30.7265625" style="113" customWidth="1"/>
    <col min="15364" max="15364" width="45" style="113" customWidth="1"/>
    <col min="15365" max="15365" width="2.7265625" style="113" customWidth="1"/>
    <col min="15366" max="15613" width="8.7265625" style="113"/>
    <col min="15614" max="15614" width="2.26953125" style="113" customWidth="1"/>
    <col min="15615" max="15616" width="2.7265625" style="113" customWidth="1"/>
    <col min="15617" max="15617" width="15.7265625" style="113" customWidth="1"/>
    <col min="15618" max="15618" width="20.7265625" style="113" customWidth="1"/>
    <col min="15619" max="15619" width="30.7265625" style="113" customWidth="1"/>
    <col min="15620" max="15620" width="45" style="113" customWidth="1"/>
    <col min="15621" max="15621" width="2.7265625" style="113" customWidth="1"/>
    <col min="15622" max="15869" width="8.7265625" style="113"/>
    <col min="15870" max="15870" width="2.26953125" style="113" customWidth="1"/>
    <col min="15871" max="15872" width="2.7265625" style="113" customWidth="1"/>
    <col min="15873" max="15873" width="15.7265625" style="113" customWidth="1"/>
    <col min="15874" max="15874" width="20.7265625" style="113" customWidth="1"/>
    <col min="15875" max="15875" width="30.7265625" style="113" customWidth="1"/>
    <col min="15876" max="15876" width="45" style="113" customWidth="1"/>
    <col min="15877" max="15877" width="2.7265625" style="113" customWidth="1"/>
    <col min="15878" max="16125" width="8.7265625" style="113"/>
    <col min="16126" max="16126" width="2.26953125" style="113" customWidth="1"/>
    <col min="16127" max="16128" width="2.7265625" style="113" customWidth="1"/>
    <col min="16129" max="16129" width="15.7265625" style="113" customWidth="1"/>
    <col min="16130" max="16130" width="20.7265625" style="113" customWidth="1"/>
    <col min="16131" max="16131" width="30.7265625" style="113" customWidth="1"/>
    <col min="16132" max="16132" width="45" style="113" customWidth="1"/>
    <col min="16133" max="16133" width="2.7265625" style="113" customWidth="1"/>
    <col min="16134" max="16384" width="8.7265625" style="113"/>
  </cols>
  <sheetData>
    <row r="1" spans="1:5" ht="17.25" customHeight="1" thickBot="1" x14ac:dyDescent="0.3">
      <c r="A1" s="110"/>
      <c r="B1" s="111"/>
      <c r="C1" s="111"/>
      <c r="D1" s="111"/>
      <c r="E1" s="112"/>
    </row>
    <row r="2" spans="1:5" ht="54.75" customHeight="1" x14ac:dyDescent="0.25">
      <c r="A2" s="114"/>
      <c r="B2" s="115"/>
      <c r="C2" s="116"/>
      <c r="E2" s="117"/>
    </row>
    <row r="3" spans="1:5" ht="18.75" customHeight="1" x14ac:dyDescent="0.25">
      <c r="A3" s="752"/>
      <c r="B3" s="483"/>
      <c r="C3" s="483"/>
      <c r="D3" s="483"/>
      <c r="E3" s="753"/>
    </row>
    <row r="4" spans="1:5" ht="6.75" customHeight="1" x14ac:dyDescent="0.25">
      <c r="A4" s="114"/>
      <c r="E4" s="118"/>
    </row>
    <row r="5" spans="1:5" ht="13" x14ac:dyDescent="0.3">
      <c r="A5" s="119" t="s">
        <v>428</v>
      </c>
      <c r="B5" s="120" t="e">
        <f>'JO Project'!E8</f>
        <v>#N/A</v>
      </c>
      <c r="C5" s="121"/>
      <c r="E5" s="118"/>
    </row>
    <row r="6" spans="1:5" ht="12.75" customHeight="1" x14ac:dyDescent="0.3">
      <c r="A6" s="119" t="s">
        <v>429</v>
      </c>
      <c r="B6" s="122" t="e">
        <f>'JO Project'!E10</f>
        <v>#N/A</v>
      </c>
      <c r="C6" s="123"/>
      <c r="E6" s="118"/>
    </row>
    <row r="7" spans="1:5" ht="12.75" customHeight="1" x14ac:dyDescent="0.3">
      <c r="A7" s="119" t="s">
        <v>430</v>
      </c>
      <c r="B7" s="122" t="str">
        <f>'JO Project'!R8</f>
        <v>NR</v>
      </c>
      <c r="C7" s="123"/>
      <c r="E7" s="118"/>
    </row>
    <row r="8" spans="1:5" ht="12.75" customHeight="1" x14ac:dyDescent="0.3">
      <c r="A8" s="119" t="s">
        <v>431</v>
      </c>
      <c r="B8" s="122" t="str">
        <f>'JO Project'!E12</f>
        <v>ESFG</v>
      </c>
      <c r="C8" s="124"/>
      <c r="E8" s="118"/>
    </row>
    <row r="9" spans="1:5" ht="13" x14ac:dyDescent="0.3">
      <c r="A9" s="114" t="s">
        <v>466</v>
      </c>
      <c r="B9" s="124" t="str">
        <f>'JO Project'!I4</f>
        <v>Unilab, Inc.</v>
      </c>
      <c r="C9" s="125"/>
      <c r="E9" s="118"/>
    </row>
    <row r="10" spans="1:5" ht="13.5" thickBot="1" x14ac:dyDescent="0.3">
      <c r="A10" s="126" t="s">
        <v>433</v>
      </c>
      <c r="B10" s="127"/>
      <c r="C10" s="127"/>
      <c r="D10" s="127"/>
      <c r="E10" s="128"/>
    </row>
    <row r="11" spans="1:5" x14ac:dyDescent="0.25">
      <c r="A11" s="129"/>
      <c r="B11" s="130"/>
      <c r="C11" s="130"/>
      <c r="D11" s="130"/>
      <c r="E11" s="118"/>
    </row>
    <row r="12" spans="1:5" ht="13" x14ac:dyDescent="0.25">
      <c r="A12" s="129"/>
      <c r="B12" s="131" t="s">
        <v>434</v>
      </c>
      <c r="C12" s="131" t="s">
        <v>435</v>
      </c>
      <c r="D12" s="131" t="s">
        <v>436</v>
      </c>
      <c r="E12" s="118"/>
    </row>
    <row r="13" spans="1:5" ht="14.5" x14ac:dyDescent="0.25">
      <c r="A13" s="132" t="s">
        <v>437</v>
      </c>
      <c r="B13" s="133">
        <f>'JO Project'!P36</f>
        <v>60000</v>
      </c>
      <c r="C13" s="134" t="s">
        <v>467</v>
      </c>
      <c r="D13" s="130"/>
      <c r="E13" s="118"/>
    </row>
    <row r="14" spans="1:5" ht="13" x14ac:dyDescent="0.25">
      <c r="A14" s="132"/>
      <c r="B14" s="133"/>
      <c r="C14" s="134"/>
      <c r="D14" s="130"/>
      <c r="E14" s="118"/>
    </row>
    <row r="15" spans="1:5" ht="13" x14ac:dyDescent="0.25">
      <c r="A15" s="132" t="s">
        <v>438</v>
      </c>
      <c r="B15" s="130"/>
      <c r="C15" s="130"/>
      <c r="D15" s="130"/>
      <c r="E15" s="118"/>
    </row>
    <row r="16" spans="1:5" ht="37.5" x14ac:dyDescent="0.25">
      <c r="A16" s="135" t="s">
        <v>439</v>
      </c>
      <c r="B16" s="130" t="s">
        <v>440</v>
      </c>
      <c r="C16" s="136">
        <v>41258</v>
      </c>
      <c r="D16" s="137" t="s">
        <v>441</v>
      </c>
      <c r="E16" s="118"/>
    </row>
    <row r="17" spans="1:5" x14ac:dyDescent="0.25">
      <c r="A17" s="129"/>
      <c r="B17" s="130"/>
      <c r="C17" s="136"/>
      <c r="D17" s="137"/>
      <c r="E17" s="118"/>
    </row>
    <row r="18" spans="1:5" x14ac:dyDescent="0.25">
      <c r="A18" s="114"/>
      <c r="B18" s="125"/>
      <c r="C18" s="139"/>
      <c r="D18" s="125"/>
      <c r="E18" s="118"/>
    </row>
    <row r="19" spans="1:5" ht="24.75" customHeight="1" x14ac:dyDescent="0.25">
      <c r="A19" s="754" t="s">
        <v>452</v>
      </c>
      <c r="B19" s="488"/>
      <c r="C19" s="488"/>
      <c r="D19" s="755"/>
      <c r="E19" s="118"/>
    </row>
    <row r="20" spans="1:5" ht="24.75" customHeight="1" x14ac:dyDescent="0.25">
      <c r="A20" s="756"/>
      <c r="B20" s="491"/>
      <c r="C20" s="491"/>
      <c r="D20" s="757"/>
      <c r="E20" s="140"/>
    </row>
    <row r="21" spans="1:5" ht="6.75" customHeight="1" x14ac:dyDescent="0.25">
      <c r="A21" s="114"/>
      <c r="E21" s="118"/>
    </row>
    <row r="22" spans="1:5" ht="21.75" customHeight="1" x14ac:dyDescent="0.25">
      <c r="A22" s="758" t="s">
        <v>453</v>
      </c>
      <c r="B22" s="477"/>
      <c r="C22" s="477"/>
      <c r="D22" s="477"/>
      <c r="E22" s="141"/>
    </row>
    <row r="23" spans="1:5" ht="6.75" customHeight="1" x14ac:dyDescent="0.25">
      <c r="A23" s="142"/>
      <c r="B23" s="143"/>
      <c r="C23" s="143"/>
      <c r="E23" s="144"/>
    </row>
    <row r="24" spans="1:5" ht="14" x14ac:dyDescent="0.25">
      <c r="A24" s="145"/>
      <c r="B24" s="146"/>
      <c r="C24" s="146"/>
      <c r="D24" s="146"/>
      <c r="E24" s="147"/>
    </row>
    <row r="25" spans="1:5" ht="45.75" customHeight="1" thickBot="1" x14ac:dyDescent="0.3">
      <c r="A25" s="759" t="s">
        <v>454</v>
      </c>
      <c r="B25" s="480"/>
      <c r="C25" s="480"/>
      <c r="D25" s="480"/>
      <c r="E25" s="148"/>
    </row>
    <row r="26" spans="1:5" ht="13.5" thickBot="1" x14ac:dyDescent="0.3">
      <c r="A26" s="126"/>
      <c r="B26" s="127"/>
      <c r="C26" s="127"/>
      <c r="D26" s="127"/>
      <c r="E26" s="128"/>
    </row>
    <row r="28" spans="1:5" x14ac:dyDescent="0.25">
      <c r="D28" s="113" t="s">
        <v>455</v>
      </c>
    </row>
    <row r="31" spans="1:5" x14ac:dyDescent="0.25">
      <c r="D31" s="143"/>
    </row>
    <row r="32" spans="1:5" x14ac:dyDescent="0.25">
      <c r="D32" s="113" t="s">
        <v>456</v>
      </c>
    </row>
  </sheetData>
  <mergeCells count="4">
    <mergeCell ref="A3:E3"/>
    <mergeCell ref="A19:D20"/>
    <mergeCell ref="A22:D22"/>
    <mergeCell ref="A25:D25"/>
  </mergeCells>
  <pageMargins left="0.7" right="0.7" top="0.75" bottom="0.75" header="0.3" footer="0.3"/>
  <pageSetup scale="65"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2678CD6-E568-4A99-9674-63ABA2CC8EB5}">
          <x14:formula1>
            <xm:f>'Drop Down List'!$B$46:$B$49</xm:f>
          </x14:formula1>
          <xm:sqref>D31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2C83D-3EBE-4EDF-98E5-FB8F45CCCE6A}">
  <sheetPr>
    <tabColor theme="9" tint="-0.249977111117893"/>
  </sheetPr>
  <dimension ref="A1:AD84"/>
  <sheetViews>
    <sheetView showGridLines="0" view="pageBreakPreview" zoomScale="55" zoomScaleNormal="100" zoomScaleSheetLayoutView="55" workbookViewId="0">
      <selection activeCell="J14" sqref="J14"/>
    </sheetView>
  </sheetViews>
  <sheetFormatPr defaultColWidth="9.1796875" defaultRowHeight="14.5" x14ac:dyDescent="0.35"/>
  <cols>
    <col min="1" max="1" width="4.7265625" style="2" customWidth="1"/>
    <col min="2" max="2" width="3.7265625" style="2" customWidth="1"/>
    <col min="3" max="3" width="4.7265625" style="2" customWidth="1"/>
    <col min="4" max="6" width="4.26953125" style="2" customWidth="1"/>
    <col min="7" max="7" width="4.81640625" style="2" customWidth="1"/>
    <col min="8" max="8" width="11.26953125" style="2" customWidth="1"/>
    <col min="9" max="9" width="6.26953125" style="2" customWidth="1"/>
    <col min="10" max="10" width="7.26953125" style="2" customWidth="1"/>
    <col min="11" max="12" width="4.7265625" style="2" customWidth="1"/>
    <col min="13" max="14" width="6.7265625" style="2" customWidth="1"/>
    <col min="15" max="15" width="1.7265625" style="2" customWidth="1"/>
    <col min="16" max="16" width="12.7265625" style="2" customWidth="1"/>
    <col min="17" max="17" width="4.81640625" style="2" customWidth="1"/>
    <col min="18" max="18" width="5.54296875" style="2" customWidth="1"/>
    <col min="19" max="19" width="3.7265625" style="2" customWidth="1"/>
    <col min="20" max="20" width="5.54296875" style="2" customWidth="1"/>
    <col min="21" max="21" width="3.7265625" style="2" customWidth="1"/>
    <col min="22" max="22" width="5.54296875" style="2" customWidth="1"/>
    <col min="23" max="23" width="9.1796875" style="2" customWidth="1"/>
    <col min="24" max="24" width="8.7265625" style="2" hidden="1" customWidth="1"/>
    <col min="25" max="25" width="12.453125" style="2" hidden="1" customWidth="1"/>
    <col min="26" max="26" width="16" style="2" hidden="1" customWidth="1"/>
    <col min="27" max="27" width="20.7265625" style="2" hidden="1" customWidth="1"/>
    <col min="28" max="28" width="23.453125" style="2" hidden="1" customWidth="1"/>
    <col min="29" max="30" width="9.1796875" style="2" hidden="1" customWidth="1"/>
    <col min="31" max="34" width="9.1796875" style="2" customWidth="1"/>
    <col min="35" max="16384" width="9.1796875" style="2"/>
  </cols>
  <sheetData>
    <row r="1" spans="1:29" ht="15.5" x14ac:dyDescent="0.35">
      <c r="A1" s="785" t="str">
        <f>I4</f>
        <v>Unilab, Inc.</v>
      </c>
      <c r="B1" s="786"/>
      <c r="C1" s="786"/>
      <c r="D1" s="786"/>
      <c r="E1" s="786"/>
      <c r="F1" s="786"/>
      <c r="G1" s="786"/>
      <c r="H1" s="786"/>
      <c r="I1" s="786"/>
      <c r="J1" s="786"/>
      <c r="K1" s="786"/>
      <c r="L1" s="786"/>
      <c r="M1" s="786"/>
      <c r="N1" s="786"/>
      <c r="O1" s="786"/>
      <c r="P1" s="786"/>
      <c r="Q1" s="786"/>
      <c r="R1" s="786"/>
      <c r="S1" s="786"/>
      <c r="T1" s="786"/>
      <c r="U1" s="786"/>
      <c r="V1" s="786"/>
      <c r="W1" s="787"/>
      <c r="X1" s="1"/>
    </row>
    <row r="2" spans="1:29" ht="16" thickBot="1" x14ac:dyDescent="0.4">
      <c r="A2" s="788" t="s">
        <v>468</v>
      </c>
      <c r="B2" s="655"/>
      <c r="C2" s="655"/>
      <c r="D2" s="655"/>
      <c r="E2" s="655"/>
      <c r="F2" s="655"/>
      <c r="G2" s="655"/>
      <c r="H2" s="655"/>
      <c r="I2" s="655"/>
      <c r="J2" s="655"/>
      <c r="K2" s="655"/>
      <c r="L2" s="655"/>
      <c r="M2" s="655"/>
      <c r="N2" s="655"/>
      <c r="O2" s="655"/>
      <c r="P2" s="655"/>
      <c r="Q2" s="655"/>
      <c r="R2" s="655"/>
      <c r="S2" s="655"/>
      <c r="T2" s="655"/>
      <c r="U2" s="655"/>
      <c r="V2" s="655"/>
      <c r="W2" s="789"/>
      <c r="X2" s="1"/>
    </row>
    <row r="3" spans="1:29" s="6" customFormat="1" ht="3.75" customHeight="1" x14ac:dyDescent="0.35">
      <c r="A3" s="3"/>
      <c r="B3" s="4"/>
      <c r="C3" s="4"/>
      <c r="D3" s="4"/>
      <c r="E3" s="4"/>
      <c r="F3" s="4"/>
      <c r="G3" s="4"/>
      <c r="H3" s="4"/>
      <c r="I3" s="4"/>
      <c r="J3" s="4"/>
      <c r="K3" s="4"/>
      <c r="L3" s="4"/>
      <c r="M3" s="4"/>
      <c r="N3" s="4"/>
      <c r="O3" s="4"/>
      <c r="P3" s="4"/>
      <c r="Q3" s="4"/>
      <c r="R3" s="4"/>
      <c r="S3" s="4"/>
      <c r="T3" s="4"/>
      <c r="U3" s="4"/>
      <c r="V3" s="4"/>
      <c r="W3" s="5"/>
      <c r="X3" s="4"/>
    </row>
    <row r="4" spans="1:29" s="6" customFormat="1" ht="14.5" customHeight="1" x14ac:dyDescent="0.35">
      <c r="A4" s="7"/>
      <c r="B4" s="8"/>
      <c r="C4" s="8" t="s">
        <v>315</v>
      </c>
      <c r="D4" s="165">
        <v>22</v>
      </c>
      <c r="E4" s="301"/>
      <c r="F4" s="299"/>
      <c r="G4" s="299"/>
      <c r="H4" s="299" t="s">
        <v>331</v>
      </c>
      <c r="I4" s="587" t="s">
        <v>121</v>
      </c>
      <c r="J4" s="588"/>
      <c r="K4" s="588"/>
      <c r="L4" s="588"/>
      <c r="M4" s="589"/>
      <c r="N4" s="9"/>
      <c r="O4" s="8" t="s">
        <v>332</v>
      </c>
      <c r="P4" s="9"/>
      <c r="Q4" s="9"/>
      <c r="R4" s="166" t="e">
        <f>VLOOKUP(D4,Responses!A:AU,8,0)</f>
        <v>#N/A</v>
      </c>
      <c r="S4" s="167"/>
      <c r="T4" s="167"/>
      <c r="U4" s="167"/>
      <c r="V4" s="168"/>
      <c r="W4" s="10"/>
      <c r="X4" s="9"/>
    </row>
    <row r="5" spans="1:29" s="6" customFormat="1" ht="3.75" customHeight="1" x14ac:dyDescent="0.35">
      <c r="A5" s="3"/>
      <c r="B5" s="4"/>
      <c r="C5" s="4"/>
      <c r="D5" s="4"/>
      <c r="E5" s="4"/>
      <c r="F5" s="4"/>
      <c r="G5" s="4"/>
      <c r="H5" s="4"/>
      <c r="I5" s="4"/>
      <c r="J5" s="4"/>
      <c r="K5" s="4"/>
      <c r="L5" s="4"/>
      <c r="M5" s="4"/>
      <c r="N5" s="4"/>
      <c r="O5" s="4"/>
      <c r="P5" s="4"/>
      <c r="Q5" s="4"/>
      <c r="R5" s="4"/>
      <c r="S5" s="4"/>
      <c r="T5" s="4"/>
      <c r="U5" s="4"/>
      <c r="V5" s="4"/>
      <c r="W5" s="5"/>
      <c r="X5" s="4"/>
    </row>
    <row r="6" spans="1:29" ht="15" thickBot="1" x14ac:dyDescent="0.4">
      <c r="A6" s="11" t="s">
        <v>333</v>
      </c>
      <c r="B6" s="12"/>
      <c r="C6" s="12"/>
      <c r="D6" s="12"/>
      <c r="E6" s="12"/>
      <c r="F6" s="12"/>
      <c r="G6" s="12"/>
      <c r="H6" s="12"/>
      <c r="I6" s="12"/>
      <c r="J6" s="12"/>
      <c r="K6" s="12"/>
      <c r="L6" s="12"/>
      <c r="M6" s="12"/>
      <c r="N6" s="12"/>
      <c r="O6" s="12"/>
      <c r="P6" s="12"/>
      <c r="Q6" s="12"/>
      <c r="R6" s="12"/>
      <c r="S6" s="12"/>
      <c r="T6" s="12"/>
      <c r="U6" s="12"/>
      <c r="V6" s="12"/>
      <c r="W6" s="13"/>
      <c r="X6" s="14"/>
      <c r="Y6" s="15"/>
      <c r="Z6" s="15"/>
      <c r="AA6" s="15"/>
    </row>
    <row r="7" spans="1:29" s="6" customFormat="1" ht="15" customHeight="1" x14ac:dyDescent="0.35">
      <c r="A7" s="404"/>
      <c r="B7" s="9"/>
      <c r="C7" s="9"/>
      <c r="D7" s="9"/>
      <c r="E7" s="9"/>
      <c r="F7" s="9"/>
      <c r="G7" s="9"/>
      <c r="H7" s="9"/>
      <c r="I7" s="9"/>
      <c r="J7" s="9"/>
      <c r="K7" s="9"/>
      <c r="L7" s="9"/>
      <c r="M7" s="9"/>
      <c r="N7" s="9"/>
      <c r="O7" s="9"/>
      <c r="P7" s="9"/>
      <c r="Q7" s="9"/>
      <c r="R7" s="9"/>
      <c r="S7" s="9"/>
      <c r="T7" s="9"/>
      <c r="U7" s="9"/>
      <c r="V7" s="9"/>
      <c r="W7" s="400"/>
      <c r="X7" s="9"/>
      <c r="Y7" s="9"/>
      <c r="Z7" s="9"/>
      <c r="AA7" s="15"/>
      <c r="AB7" s="15"/>
      <c r="AC7" s="15"/>
    </row>
    <row r="8" spans="1:29" s="6" customFormat="1" ht="15" customHeight="1" x14ac:dyDescent="0.35">
      <c r="A8" s="399" t="s">
        <v>334</v>
      </c>
      <c r="B8" s="8"/>
      <c r="C8" s="8"/>
      <c r="D8" s="8"/>
      <c r="E8" s="642" t="e">
        <f>VLOOKUP(D4,Responses!A:AU,7,0)</f>
        <v>#N/A</v>
      </c>
      <c r="F8" s="643"/>
      <c r="G8" s="643"/>
      <c r="H8" s="643"/>
      <c r="I8" s="643"/>
      <c r="J8" s="643"/>
      <c r="K8" s="643"/>
      <c r="L8" s="643"/>
      <c r="M8" s="644"/>
      <c r="N8" s="8"/>
      <c r="O8" s="223" t="s">
        <v>335</v>
      </c>
      <c r="P8" s="453"/>
      <c r="Q8" s="8"/>
      <c r="R8" s="657" t="s">
        <v>108</v>
      </c>
      <c r="S8" s="658"/>
      <c r="T8" s="658"/>
      <c r="U8" s="658"/>
      <c r="V8" s="659"/>
      <c r="W8" s="400"/>
      <c r="X8" s="9"/>
      <c r="Y8" s="9"/>
      <c r="Z8" s="9"/>
      <c r="AB8" s="15"/>
      <c r="AC8" s="15"/>
    </row>
    <row r="9" spans="1:29" s="6" customFormat="1" ht="15" customHeight="1" x14ac:dyDescent="0.35">
      <c r="A9" s="399"/>
      <c r="B9" s="8"/>
      <c r="C9" s="8"/>
      <c r="D9" s="8"/>
      <c r="E9" s="405"/>
      <c r="F9" s="405"/>
      <c r="G9" s="405"/>
      <c r="H9" s="405"/>
      <c r="I9" s="405"/>
      <c r="J9" s="405"/>
      <c r="K9" s="405"/>
      <c r="L9" s="405"/>
      <c r="M9" s="405"/>
      <c r="N9" s="8"/>
      <c r="O9" s="225"/>
      <c r="P9" s="406"/>
      <c r="Q9" s="406"/>
      <c r="R9" s="405"/>
      <c r="S9" s="405"/>
      <c r="T9" s="405"/>
      <c r="U9" s="405"/>
      <c r="V9" s="405"/>
      <c r="W9" s="400"/>
      <c r="X9" s="9"/>
      <c r="Y9" s="9"/>
      <c r="Z9" s="9"/>
      <c r="AB9" s="15"/>
      <c r="AC9" s="15"/>
    </row>
    <row r="10" spans="1:29" s="6" customFormat="1" x14ac:dyDescent="0.35">
      <c r="A10" s="454" t="s">
        <v>336</v>
      </c>
      <c r="B10" s="17"/>
      <c r="C10" s="17"/>
      <c r="D10" s="8"/>
      <c r="E10" s="642" t="e">
        <f>VLOOKUP(D4,Responses!A:AU,9,0)</f>
        <v>#N/A</v>
      </c>
      <c r="F10" s="643"/>
      <c r="G10" s="643"/>
      <c r="H10" s="643"/>
      <c r="I10" s="643"/>
      <c r="J10" s="643"/>
      <c r="K10" s="643"/>
      <c r="L10" s="643"/>
      <c r="M10" s="644"/>
      <c r="N10" s="8"/>
      <c r="O10" s="223" t="s">
        <v>338</v>
      </c>
      <c r="P10" s="8"/>
      <c r="Q10" s="8"/>
      <c r="R10" s="782"/>
      <c r="S10" s="783"/>
      <c r="T10" s="783"/>
      <c r="U10" s="783"/>
      <c r="V10" s="784"/>
      <c r="W10" s="400"/>
      <c r="X10" s="9"/>
      <c r="Y10" s="9"/>
      <c r="Z10" s="9"/>
      <c r="AB10" s="15"/>
      <c r="AC10" s="15"/>
    </row>
    <row r="11" spans="1:29" s="6" customFormat="1" ht="15" customHeight="1" x14ac:dyDescent="0.35">
      <c r="A11" s="399"/>
      <c r="B11" s="8"/>
      <c r="C11" s="8"/>
      <c r="D11" s="8"/>
      <c r="E11" s="405"/>
      <c r="F11" s="405"/>
      <c r="G11" s="405"/>
      <c r="H11" s="405"/>
      <c r="I11" s="405"/>
      <c r="J11" s="405"/>
      <c r="K11" s="405"/>
      <c r="L11" s="405"/>
      <c r="M11" s="405"/>
      <c r="N11" s="8"/>
      <c r="O11" s="223"/>
      <c r="P11" s="189"/>
      <c r="Q11" s="189"/>
      <c r="R11" s="406"/>
      <c r="S11" s="406"/>
      <c r="T11" s="406"/>
      <c r="U11" s="8"/>
      <c r="V11" s="8"/>
      <c r="W11" s="400"/>
      <c r="X11" s="9"/>
      <c r="Y11" s="9"/>
      <c r="Z11" s="9"/>
      <c r="AB11" s="15"/>
      <c r="AC11" s="15"/>
    </row>
    <row r="12" spans="1:29" s="6" customFormat="1" ht="15" customHeight="1" x14ac:dyDescent="0.35">
      <c r="A12" s="596" t="s">
        <v>339</v>
      </c>
      <c r="B12" s="597"/>
      <c r="C12" s="597"/>
      <c r="D12" s="597"/>
      <c r="E12" s="660" t="s">
        <v>460</v>
      </c>
      <c r="F12" s="661"/>
      <c r="G12" s="661"/>
      <c r="H12" s="661"/>
      <c r="I12" s="661"/>
      <c r="J12" s="661"/>
      <c r="K12" s="661"/>
      <c r="L12" s="661"/>
      <c r="M12" s="662"/>
      <c r="N12" s="8"/>
      <c r="O12" s="227" t="s">
        <v>341</v>
      </c>
      <c r="P12" s="455"/>
      <c r="Q12" s="8"/>
      <c r="R12" s="782"/>
      <c r="S12" s="783"/>
      <c r="T12" s="783"/>
      <c r="U12" s="783"/>
      <c r="V12" s="784"/>
      <c r="W12" s="400"/>
      <c r="X12" s="9"/>
      <c r="Y12" s="9"/>
      <c r="Z12" s="9"/>
      <c r="AB12" s="15"/>
      <c r="AC12" s="15"/>
    </row>
    <row r="13" spans="1:29" s="6" customFormat="1" ht="15" customHeight="1" x14ac:dyDescent="0.35">
      <c r="A13" s="399"/>
      <c r="B13" s="8"/>
      <c r="C13" s="8"/>
      <c r="D13" s="8"/>
      <c r="E13" s="190"/>
      <c r="F13" s="405"/>
      <c r="G13" s="405"/>
      <c r="H13" s="405"/>
      <c r="I13" s="405"/>
      <c r="J13" s="405"/>
      <c r="K13" s="405"/>
      <c r="L13" s="405"/>
      <c r="M13" s="405"/>
      <c r="N13" s="8"/>
      <c r="O13" s="191"/>
      <c r="P13" s="191"/>
      <c r="Q13" s="189"/>
      <c r="R13" s="407"/>
      <c r="S13" s="407"/>
      <c r="T13" s="407"/>
      <c r="U13" s="407"/>
      <c r="V13" s="407"/>
      <c r="W13" s="400"/>
      <c r="X13" s="9"/>
      <c r="Y13" s="9"/>
      <c r="Z13" s="9"/>
      <c r="AB13" s="15"/>
      <c r="AC13" s="15"/>
    </row>
    <row r="14" spans="1:29" ht="15" customHeight="1" x14ac:dyDescent="0.35">
      <c r="A14" s="404"/>
      <c r="B14" s="9"/>
      <c r="C14" s="9"/>
      <c r="D14" s="9"/>
      <c r="E14" s="192"/>
      <c r="F14" s="9"/>
      <c r="G14" s="9"/>
      <c r="H14" s="9"/>
      <c r="I14" s="9"/>
      <c r="J14" s="9"/>
      <c r="K14" s="9"/>
      <c r="L14" s="9"/>
      <c r="M14" s="9"/>
      <c r="N14" s="9"/>
      <c r="O14" s="192"/>
      <c r="P14" s="192"/>
      <c r="Q14" s="192"/>
      <c r="R14" s="193"/>
      <c r="S14" s="194"/>
      <c r="T14" s="193"/>
      <c r="U14" s="194"/>
      <c r="V14" s="193"/>
      <c r="W14" s="400"/>
      <c r="X14" s="9"/>
      <c r="Y14" s="9"/>
      <c r="Z14" s="9"/>
      <c r="AA14" s="6"/>
      <c r="AB14" s="15"/>
      <c r="AC14" s="15"/>
    </row>
    <row r="15" spans="1:29" ht="15" thickBot="1" x14ac:dyDescent="0.4">
      <c r="A15" s="11" t="s">
        <v>343</v>
      </c>
      <c r="B15" s="12"/>
      <c r="C15" s="12"/>
      <c r="D15" s="12"/>
      <c r="E15" s="12"/>
      <c r="F15" s="12"/>
      <c r="G15" s="12"/>
      <c r="H15" s="12"/>
      <c r="I15" s="12"/>
      <c r="J15" s="12"/>
      <c r="K15" s="12"/>
      <c r="L15" s="12"/>
      <c r="M15" s="12"/>
      <c r="N15" s="12"/>
      <c r="O15" s="12"/>
      <c r="P15" s="12"/>
      <c r="Q15" s="12"/>
      <c r="R15" s="12"/>
      <c r="S15" s="12"/>
      <c r="T15" s="12"/>
      <c r="U15" s="12"/>
      <c r="V15" s="12"/>
      <c r="W15" s="13"/>
      <c r="X15" s="14"/>
      <c r="Y15" s="6"/>
      <c r="Z15" s="15"/>
      <c r="AA15" s="15"/>
    </row>
    <row r="16" spans="1:29" s="6" customFormat="1" ht="3.75" customHeight="1" x14ac:dyDescent="0.35">
      <c r="A16" s="16"/>
      <c r="B16" s="9"/>
      <c r="C16" s="9"/>
      <c r="D16" s="9"/>
      <c r="E16" s="9"/>
      <c r="F16" s="9"/>
      <c r="G16" s="9"/>
      <c r="H16" s="9"/>
      <c r="I16" s="9"/>
      <c r="J16" s="9"/>
      <c r="K16" s="9"/>
      <c r="L16" s="9"/>
      <c r="M16" s="9"/>
      <c r="N16" s="9"/>
      <c r="O16" s="9"/>
      <c r="P16" s="9"/>
      <c r="Q16" s="9"/>
      <c r="R16" s="9"/>
      <c r="S16" s="9"/>
      <c r="T16" s="9"/>
      <c r="U16" s="9"/>
      <c r="V16" s="9"/>
      <c r="W16" s="10"/>
      <c r="X16" s="9"/>
      <c r="Z16" s="15"/>
      <c r="AA16" s="15"/>
    </row>
    <row r="17" spans="1:29" s="6" customFormat="1" ht="15" customHeight="1" x14ac:dyDescent="0.35">
      <c r="A17" s="16"/>
      <c r="B17" s="635" t="s">
        <v>1</v>
      </c>
      <c r="C17" s="635"/>
      <c r="D17" s="635"/>
      <c r="E17" s="645" t="s">
        <v>15</v>
      </c>
      <c r="F17" s="646"/>
      <c r="G17" s="646"/>
      <c r="H17" s="647"/>
      <c r="I17" s="19" t="s">
        <v>344</v>
      </c>
      <c r="J17" s="9"/>
      <c r="N17" s="648" t="s">
        <v>3</v>
      </c>
      <c r="O17" s="649"/>
      <c r="P17" s="649"/>
      <c r="Q17" s="181" t="s">
        <v>35</v>
      </c>
      <c r="R17" s="20" t="s">
        <v>345</v>
      </c>
      <c r="S17" s="21"/>
      <c r="T17" s="22"/>
      <c r="V17" s="9"/>
      <c r="W17" s="10"/>
      <c r="X17" s="9"/>
      <c r="Y17" s="9"/>
      <c r="Z17" s="9"/>
      <c r="AB17" s="15"/>
      <c r="AC17" s="15"/>
    </row>
    <row r="18" spans="1:29" s="6" customFormat="1" ht="15" customHeight="1" x14ac:dyDescent="0.35">
      <c r="A18" s="16"/>
      <c r="B18" s="635" t="s">
        <v>21</v>
      </c>
      <c r="C18" s="635"/>
      <c r="D18" s="635"/>
      <c r="E18" s="636" t="s">
        <v>22</v>
      </c>
      <c r="F18" s="637"/>
      <c r="G18" s="637"/>
      <c r="H18" s="638"/>
      <c r="I18" s="19" t="s">
        <v>346</v>
      </c>
      <c r="J18" s="9"/>
      <c r="N18" s="648" t="s">
        <v>51</v>
      </c>
      <c r="O18" s="649"/>
      <c r="P18" s="650"/>
      <c r="Q18" s="182" t="s">
        <v>54</v>
      </c>
      <c r="R18" s="19" t="s">
        <v>347</v>
      </c>
      <c r="S18" s="9"/>
      <c r="T18" s="9"/>
      <c r="U18" s="9"/>
      <c r="V18" s="9"/>
      <c r="W18" s="10"/>
      <c r="X18" s="9"/>
      <c r="Y18" s="9"/>
      <c r="Z18" s="9"/>
      <c r="AB18" s="15"/>
      <c r="AC18" s="15"/>
    </row>
    <row r="19" spans="1:29" s="6" customFormat="1" ht="15" customHeight="1" x14ac:dyDescent="0.35">
      <c r="A19" s="16"/>
      <c r="B19" s="635" t="s">
        <v>48</v>
      </c>
      <c r="C19" s="635"/>
      <c r="D19" s="635"/>
      <c r="E19" s="645" t="s">
        <v>49</v>
      </c>
      <c r="F19" s="646"/>
      <c r="G19" s="646"/>
      <c r="H19" s="647"/>
      <c r="I19" s="19" t="s">
        <v>348</v>
      </c>
      <c r="J19" s="9"/>
      <c r="N19" s="639" t="s">
        <v>349</v>
      </c>
      <c r="O19" s="640"/>
      <c r="P19" s="641"/>
      <c r="Q19" s="183" t="s">
        <v>54</v>
      </c>
      <c r="R19" s="19" t="s">
        <v>350</v>
      </c>
      <c r="S19" s="9"/>
      <c r="T19" s="9"/>
      <c r="U19" s="9"/>
      <c r="V19" s="9"/>
      <c r="W19" s="10"/>
      <c r="X19" s="9"/>
      <c r="Y19" s="9"/>
      <c r="Z19" s="9"/>
      <c r="AB19" s="15"/>
      <c r="AC19" s="15"/>
    </row>
    <row r="20" spans="1:29" s="6" customFormat="1" ht="15" customHeight="1" x14ac:dyDescent="0.35">
      <c r="A20" s="16"/>
      <c r="B20" s="635" t="s">
        <v>66</v>
      </c>
      <c r="C20" s="635"/>
      <c r="D20" s="635"/>
      <c r="E20" s="645" t="s">
        <v>67</v>
      </c>
      <c r="F20" s="646"/>
      <c r="G20" s="646"/>
      <c r="H20" s="647"/>
      <c r="I20" s="19" t="s">
        <v>351</v>
      </c>
      <c r="J20" s="9"/>
      <c r="N20" s="639" t="s">
        <v>61</v>
      </c>
      <c r="O20" s="640"/>
      <c r="P20" s="641"/>
      <c r="Q20" s="183" t="s">
        <v>54</v>
      </c>
      <c r="R20" s="19" t="s">
        <v>354</v>
      </c>
      <c r="S20" s="9"/>
      <c r="T20" s="9"/>
      <c r="U20" s="9"/>
      <c r="V20" s="9"/>
      <c r="W20" s="10"/>
      <c r="X20" s="9"/>
      <c r="Y20" s="9"/>
      <c r="Z20" s="9"/>
      <c r="AB20" s="15"/>
      <c r="AC20" s="15"/>
    </row>
    <row r="21" spans="1:29" s="6" customFormat="1" ht="15" customHeight="1" x14ac:dyDescent="0.35">
      <c r="A21" s="23"/>
      <c r="B21" s="635" t="s">
        <v>73</v>
      </c>
      <c r="C21" s="635"/>
      <c r="D21" s="635"/>
      <c r="E21" s="645" t="s">
        <v>75</v>
      </c>
      <c r="F21" s="646"/>
      <c r="G21" s="646"/>
      <c r="H21" s="647"/>
      <c r="I21" s="19" t="s">
        <v>353</v>
      </c>
      <c r="J21" s="9"/>
      <c r="R21" s="19"/>
      <c r="S21" s="9"/>
      <c r="T21" s="9"/>
      <c r="U21" s="9"/>
      <c r="V21" s="9"/>
      <c r="W21" s="10"/>
      <c r="X21" s="9"/>
      <c r="Y21" s="9"/>
      <c r="Z21" s="9"/>
      <c r="AB21" s="15"/>
      <c r="AC21" s="15"/>
    </row>
    <row r="22" spans="1:29" s="6" customFormat="1" ht="15" customHeight="1" x14ac:dyDescent="0.35">
      <c r="A22" s="23"/>
      <c r="B22" s="635" t="s">
        <v>78</v>
      </c>
      <c r="C22" s="635"/>
      <c r="D22" s="635"/>
      <c r="E22" s="645" t="s">
        <v>461</v>
      </c>
      <c r="F22" s="646"/>
      <c r="G22" s="646"/>
      <c r="H22" s="647"/>
      <c r="I22" s="19" t="s">
        <v>355</v>
      </c>
      <c r="J22" s="9"/>
      <c r="R22" s="19"/>
      <c r="S22" s="9"/>
      <c r="T22" s="9"/>
      <c r="U22" s="9"/>
      <c r="V22" s="9"/>
      <c r="W22" s="10"/>
      <c r="X22" s="9"/>
      <c r="Y22" s="9"/>
      <c r="Z22" s="9"/>
      <c r="AB22" s="15"/>
      <c r="AC22" s="15"/>
    </row>
    <row r="23" spans="1:29" s="6" customFormat="1" ht="3.75" customHeight="1" x14ac:dyDescent="0.35">
      <c r="A23" s="16"/>
      <c r="B23" s="9"/>
      <c r="C23" s="9"/>
      <c r="D23" s="9"/>
      <c r="E23" s="9"/>
      <c r="F23" s="9"/>
      <c r="G23" s="9"/>
      <c r="H23" s="9"/>
      <c r="I23" s="9"/>
      <c r="J23" s="9"/>
      <c r="K23" s="9"/>
      <c r="L23" s="9"/>
      <c r="M23" s="9"/>
      <c r="N23" s="9"/>
      <c r="O23" s="24"/>
      <c r="P23" s="8"/>
      <c r="Q23" s="9"/>
      <c r="R23" s="9"/>
      <c r="S23" s="9"/>
      <c r="T23" s="25"/>
      <c r="U23" s="9"/>
      <c r="V23" s="9"/>
      <c r="W23" s="10"/>
      <c r="X23" s="9"/>
    </row>
    <row r="24" spans="1:29" ht="15" thickBot="1" x14ac:dyDescent="0.4">
      <c r="A24" s="11" t="s">
        <v>357</v>
      </c>
      <c r="B24" s="12"/>
      <c r="C24" s="12"/>
      <c r="D24" s="12"/>
      <c r="E24" s="12"/>
      <c r="F24" s="12"/>
      <c r="G24" s="12"/>
      <c r="H24" s="12"/>
      <c r="I24" s="12"/>
      <c r="J24" s="12"/>
      <c r="K24" s="12"/>
      <c r="L24" s="12"/>
      <c r="M24" s="12"/>
      <c r="N24" s="12"/>
      <c r="O24" s="12"/>
      <c r="P24" s="12"/>
      <c r="Q24" s="12"/>
      <c r="R24" s="12"/>
      <c r="S24" s="12"/>
      <c r="T24" s="12"/>
      <c r="U24" s="12"/>
      <c r="V24" s="12"/>
      <c r="W24" s="13"/>
      <c r="X24" s="14"/>
      <c r="Y24" s="6"/>
      <c r="Z24" s="15"/>
      <c r="AA24" s="15"/>
    </row>
    <row r="25" spans="1:29" s="6" customFormat="1" ht="6.65" customHeight="1" x14ac:dyDescent="0.35">
      <c r="A25" s="16"/>
      <c r="B25" s="9"/>
      <c r="C25" s="9"/>
      <c r="D25" s="9"/>
      <c r="E25" s="9"/>
      <c r="F25" s="9"/>
      <c r="G25" s="9"/>
      <c r="H25" s="9"/>
      <c r="I25" s="9"/>
      <c r="J25" s="9"/>
      <c r="K25" s="9"/>
      <c r="L25" s="9"/>
      <c r="M25" s="9"/>
      <c r="N25" s="9"/>
      <c r="O25" s="9"/>
      <c r="P25" s="9"/>
      <c r="Q25" s="9"/>
      <c r="R25" s="9"/>
      <c r="S25" s="9"/>
      <c r="T25" s="25"/>
      <c r="U25" s="9"/>
      <c r="V25" s="9"/>
      <c r="W25" s="10"/>
      <c r="X25" s="9"/>
      <c r="Y25" s="9"/>
      <c r="Z25" s="9"/>
    </row>
    <row r="26" spans="1:29" s="6" customFormat="1" x14ac:dyDescent="0.35">
      <c r="A26" s="16"/>
      <c r="B26" s="8" t="s">
        <v>135</v>
      </c>
      <c r="C26" s="9"/>
      <c r="D26" s="9"/>
      <c r="E26" s="26"/>
      <c r="F26" s="169" t="e">
        <f>VLOOKUP(D4,Responses!A:AU,13,0)</f>
        <v>#N/A</v>
      </c>
      <c r="G26" s="170"/>
      <c r="H26" s="170"/>
      <c r="I26" s="170"/>
      <c r="J26" s="171"/>
      <c r="K26" s="9"/>
      <c r="L26" s="9"/>
      <c r="M26" s="9"/>
      <c r="N26" s="25"/>
      <c r="O26" s="160" t="s">
        <v>358</v>
      </c>
      <c r="P26" s="169" t="e">
        <f>VLOOKUP(D4,Responses!A:AU,15,0)</f>
        <v>#N/A</v>
      </c>
      <c r="Q26" s="170"/>
      <c r="R26" s="170"/>
      <c r="S26" s="170"/>
      <c r="T26" s="170"/>
      <c r="U26" s="170"/>
      <c r="V26" s="171"/>
      <c r="W26" s="9"/>
      <c r="X26" s="9"/>
      <c r="Y26" s="9"/>
      <c r="Z26" s="9"/>
    </row>
    <row r="27" spans="1:29" s="6" customFormat="1" ht="3.75" customHeight="1" x14ac:dyDescent="0.35">
      <c r="A27" s="16"/>
      <c r="B27" s="9"/>
      <c r="C27" s="9"/>
      <c r="D27" s="9"/>
      <c r="E27" s="26"/>
      <c r="F27" s="9"/>
      <c r="G27" s="9"/>
      <c r="H27" s="9"/>
      <c r="I27" s="9"/>
      <c r="J27" s="25"/>
      <c r="K27" s="9"/>
      <c r="L27" s="9"/>
      <c r="M27" s="9"/>
      <c r="N27" s="25"/>
      <c r="O27" s="160"/>
      <c r="P27" s="9"/>
      <c r="Q27" s="9"/>
      <c r="R27" s="9"/>
      <c r="S27" s="9"/>
      <c r="T27" s="9"/>
      <c r="U27" s="9"/>
      <c r="V27" s="9"/>
      <c r="W27" s="9"/>
      <c r="X27" s="9"/>
      <c r="Y27" s="9"/>
      <c r="Z27" s="9"/>
    </row>
    <row r="28" spans="1:29" s="6" customFormat="1" x14ac:dyDescent="0.35">
      <c r="A28" s="16"/>
      <c r="B28" s="8" t="s">
        <v>359</v>
      </c>
      <c r="C28" s="9"/>
      <c r="D28" s="9"/>
      <c r="E28" s="26"/>
      <c r="F28" s="169" t="e">
        <f>VLOOKUP(D4,Responses!A:AU,14,0)</f>
        <v>#N/A</v>
      </c>
      <c r="G28" s="170"/>
      <c r="H28" s="170"/>
      <c r="I28" s="170"/>
      <c r="J28" s="171"/>
      <c r="K28" s="9"/>
      <c r="L28" s="9"/>
      <c r="M28" s="9"/>
      <c r="N28" s="25"/>
      <c r="O28" s="161" t="s">
        <v>139</v>
      </c>
      <c r="P28" s="169" t="e">
        <f>VLOOKUP(D4,Responses!A:AU,17,0)</f>
        <v>#N/A</v>
      </c>
      <c r="Q28" s="170"/>
      <c r="R28" s="170"/>
      <c r="S28" s="170"/>
      <c r="T28" s="170"/>
      <c r="U28" s="170"/>
      <c r="V28" s="171"/>
      <c r="W28" s="9"/>
      <c r="X28" s="8"/>
      <c r="Y28" s="8"/>
      <c r="Z28" s="8"/>
    </row>
    <row r="29" spans="1:29" s="6" customFormat="1" ht="3" customHeight="1" thickBot="1" x14ac:dyDescent="0.4">
      <c r="A29" s="16"/>
      <c r="B29" s="9"/>
      <c r="C29" s="9"/>
      <c r="D29" s="9"/>
      <c r="E29" s="9"/>
      <c r="F29" s="9"/>
      <c r="G29" s="9"/>
      <c r="H29" s="9"/>
      <c r="I29" s="9"/>
      <c r="J29" s="9"/>
      <c r="K29" s="17"/>
      <c r="L29" s="9"/>
      <c r="M29" s="9"/>
      <c r="N29" s="9"/>
      <c r="O29" s="8"/>
      <c r="P29" s="8"/>
      <c r="Q29" s="8"/>
      <c r="R29" s="8"/>
      <c r="S29" s="8"/>
      <c r="T29" s="8"/>
      <c r="U29" s="8"/>
      <c r="V29" s="8"/>
      <c r="W29" s="159"/>
      <c r="X29" s="8"/>
      <c r="Y29" s="8"/>
      <c r="Z29" s="8"/>
    </row>
    <row r="30" spans="1:29" ht="15" thickBot="1" x14ac:dyDescent="0.4">
      <c r="A30" s="11" t="s">
        <v>360</v>
      </c>
      <c r="B30" s="12"/>
      <c r="C30" s="12"/>
      <c r="D30" s="12"/>
      <c r="E30" s="12"/>
      <c r="F30" s="12"/>
      <c r="G30" s="12"/>
      <c r="H30" s="12"/>
      <c r="I30" s="12"/>
      <c r="J30" s="12"/>
      <c r="K30" s="12"/>
      <c r="L30" s="12"/>
      <c r="M30" s="12"/>
      <c r="N30" s="12"/>
      <c r="O30" s="12"/>
      <c r="P30" s="12"/>
      <c r="Q30" s="12"/>
      <c r="R30" s="12"/>
      <c r="S30" s="12"/>
      <c r="T30" s="12"/>
      <c r="U30" s="12"/>
      <c r="V30" s="12"/>
      <c r="W30" s="13"/>
      <c r="X30" s="14"/>
    </row>
    <row r="31" spans="1:29" s="6" customFormat="1" ht="3.75" customHeight="1" thickBot="1" x14ac:dyDescent="0.4">
      <c r="A31" s="16"/>
      <c r="B31" s="9"/>
      <c r="C31" s="9"/>
      <c r="D31" s="9"/>
      <c r="E31" s="9"/>
      <c r="F31" s="9"/>
      <c r="G31" s="9"/>
      <c r="H31" s="9"/>
      <c r="I31" s="9"/>
      <c r="J31" s="9"/>
      <c r="K31" s="9"/>
      <c r="L31" s="9"/>
      <c r="M31" s="9"/>
      <c r="N31" s="9"/>
      <c r="O31" s="24"/>
      <c r="P31" s="8"/>
      <c r="Q31" s="9"/>
      <c r="R31" s="9"/>
      <c r="S31" s="9"/>
      <c r="T31" s="25"/>
      <c r="U31" s="9"/>
      <c r="V31" s="9"/>
      <c r="W31" s="10"/>
      <c r="X31" s="9"/>
    </row>
    <row r="32" spans="1:29" ht="15" thickBot="1" x14ac:dyDescent="0.4">
      <c r="A32" s="734" t="s">
        <v>361</v>
      </c>
      <c r="B32" s="670"/>
      <c r="C32" s="670"/>
      <c r="D32" s="670"/>
      <c r="E32" s="670"/>
      <c r="F32" s="670"/>
      <c r="G32" s="670"/>
      <c r="H32" s="664" t="s">
        <v>362</v>
      </c>
      <c r="I32" s="664"/>
      <c r="J32" s="664"/>
      <c r="K32" s="664"/>
      <c r="L32" s="664"/>
      <c r="M32" s="664"/>
      <c r="N32" s="673"/>
      <c r="O32" s="9"/>
      <c r="P32" s="663" t="s">
        <v>363</v>
      </c>
      <c r="Q32" s="664"/>
      <c r="R32" s="664"/>
      <c r="S32" s="664"/>
      <c r="T32" s="664"/>
      <c r="U32" s="664"/>
      <c r="V32" s="664"/>
      <c r="W32" s="673"/>
      <c r="X32" s="27"/>
    </row>
    <row r="33" spans="1:29" ht="15.5" thickTop="1" thickBot="1" x14ac:dyDescent="0.4">
      <c r="A33" s="735"/>
      <c r="B33" s="672"/>
      <c r="C33" s="672"/>
      <c r="D33" s="672"/>
      <c r="E33" s="672"/>
      <c r="F33" s="672"/>
      <c r="G33" s="672"/>
      <c r="H33" s="28" t="s">
        <v>364</v>
      </c>
      <c r="I33" s="666" t="s">
        <v>365</v>
      </c>
      <c r="J33" s="666"/>
      <c r="K33" s="666" t="s">
        <v>366</v>
      </c>
      <c r="L33" s="666"/>
      <c r="M33" s="666"/>
      <c r="N33" s="667"/>
      <c r="O33" s="9"/>
      <c r="P33" s="29" t="s">
        <v>364</v>
      </c>
      <c r="Q33" s="666" t="s">
        <v>365</v>
      </c>
      <c r="R33" s="666"/>
      <c r="S33" s="666"/>
      <c r="T33" s="666" t="s">
        <v>366</v>
      </c>
      <c r="U33" s="666"/>
      <c r="V33" s="666"/>
      <c r="W33" s="667"/>
      <c r="X33" s="30"/>
    </row>
    <row r="34" spans="1:29" ht="15" thickBot="1" x14ac:dyDescent="0.4">
      <c r="A34" s="31" t="s">
        <v>369</v>
      </c>
      <c r="B34" s="32"/>
      <c r="C34" s="32"/>
      <c r="D34" s="32"/>
      <c r="E34" s="32"/>
      <c r="F34" s="32"/>
      <c r="G34" s="32"/>
      <c r="H34" s="32"/>
      <c r="I34" s="32"/>
      <c r="J34" s="32"/>
      <c r="K34" s="32"/>
      <c r="L34" s="32"/>
      <c r="M34" s="32"/>
      <c r="N34" s="33"/>
      <c r="O34" s="9"/>
      <c r="P34" s="34"/>
      <c r="Q34" s="35"/>
      <c r="R34" s="35"/>
      <c r="S34" s="35"/>
      <c r="T34" s="35"/>
      <c r="U34" s="35"/>
      <c r="V34" s="35"/>
      <c r="W34" s="36"/>
      <c r="X34" s="37"/>
    </row>
    <row r="35" spans="1:29" s="6" customFormat="1" x14ac:dyDescent="0.35">
      <c r="A35" s="777" t="s">
        <v>370</v>
      </c>
      <c r="B35" s="778"/>
      <c r="C35" s="778"/>
      <c r="D35" s="778"/>
      <c r="E35" s="778"/>
      <c r="F35" s="778"/>
      <c r="G35" s="778"/>
      <c r="H35" s="38" t="e">
        <f>VLOOKUP(D4,Responses!A:AU,18,0)</f>
        <v>#N/A</v>
      </c>
      <c r="I35" s="779" t="e">
        <f>H35*12</f>
        <v>#N/A</v>
      </c>
      <c r="J35" s="779"/>
      <c r="K35" s="677"/>
      <c r="L35" s="677"/>
      <c r="M35" s="677"/>
      <c r="N35" s="678"/>
      <c r="O35" s="39"/>
      <c r="P35" s="172">
        <v>60000</v>
      </c>
      <c r="Q35" s="780">
        <f>P35*12</f>
        <v>720000</v>
      </c>
      <c r="R35" s="780"/>
      <c r="S35" s="780"/>
      <c r="T35" s="680"/>
      <c r="U35" s="680"/>
      <c r="V35" s="680"/>
      <c r="W35" s="781"/>
      <c r="X35" s="41"/>
    </row>
    <row r="36" spans="1:29" ht="15.75" customHeight="1" x14ac:dyDescent="0.35">
      <c r="A36" s="776" t="s">
        <v>371</v>
      </c>
      <c r="B36" s="772"/>
      <c r="C36" s="772"/>
      <c r="D36" s="772"/>
      <c r="E36" s="772"/>
      <c r="F36" s="772"/>
      <c r="G36" s="772"/>
      <c r="H36" s="42"/>
      <c r="I36" s="773" t="e">
        <f>IF(K36="12th Month Pay","",
IF(K36="13th Month Pay",H35*1,
IF(K36="14th Month Pay",H35*2,
IF(K36="15th Month Pay",H35*3,
IF(K36="16th Month Pay",H35*4,"")))))</f>
        <v>#N/A</v>
      </c>
      <c r="J36" s="773"/>
      <c r="K36" s="685" t="e">
        <f>VLOOKUP(D4,Responses!A:AU,19,0)</f>
        <v>#N/A</v>
      </c>
      <c r="L36" s="685"/>
      <c r="M36" s="685"/>
      <c r="N36" s="686"/>
      <c r="O36" s="39"/>
      <c r="P36" s="43"/>
      <c r="Q36" s="775"/>
      <c r="R36" s="775"/>
      <c r="S36" s="775"/>
      <c r="T36" s="688" t="s">
        <v>469</v>
      </c>
      <c r="U36" s="688"/>
      <c r="V36" s="688"/>
      <c r="W36" s="770"/>
      <c r="X36" s="41"/>
    </row>
    <row r="37" spans="1:29" s="6" customFormat="1" x14ac:dyDescent="0.35">
      <c r="A37" s="776" t="s">
        <v>373</v>
      </c>
      <c r="B37" s="772"/>
      <c r="C37" s="772"/>
      <c r="D37" s="772"/>
      <c r="E37" s="772"/>
      <c r="F37" s="772"/>
      <c r="G37" s="772"/>
      <c r="H37" s="42"/>
      <c r="I37" s="773" t="e">
        <f>VLOOKUP(D4,Responses!A:AU,21,0)</f>
        <v>#N/A</v>
      </c>
      <c r="J37" s="773"/>
      <c r="K37" s="690" t="e">
        <f>VLOOKUP(D4,Responses!A:AU,20,0)</f>
        <v>#N/A</v>
      </c>
      <c r="L37" s="690"/>
      <c r="M37" s="690"/>
      <c r="N37" s="691"/>
      <c r="O37" s="39"/>
      <c r="P37" s="43"/>
      <c r="Q37" s="775"/>
      <c r="R37" s="775"/>
      <c r="S37" s="775"/>
      <c r="T37" s="688"/>
      <c r="U37" s="688"/>
      <c r="V37" s="688"/>
      <c r="W37" s="770"/>
      <c r="X37" s="41"/>
    </row>
    <row r="38" spans="1:29" s="6" customFormat="1" ht="15" customHeight="1" x14ac:dyDescent="0.35">
      <c r="A38" s="771" t="s">
        <v>376</v>
      </c>
      <c r="B38" s="772"/>
      <c r="C38" s="772"/>
      <c r="D38" s="772"/>
      <c r="E38" s="772"/>
      <c r="F38" s="772"/>
      <c r="G38" s="772"/>
      <c r="H38" s="42" t="e">
        <f>VLOOKUP(D4,Responses!A:AU,23,0)</f>
        <v>#N/A</v>
      </c>
      <c r="I38" s="773" t="e">
        <f>VLOOKUP(D4,Responses!A:AU,25,0)</f>
        <v>#N/A</v>
      </c>
      <c r="J38" s="774"/>
      <c r="K38" s="688" t="e">
        <f>AC38</f>
        <v>#N/A</v>
      </c>
      <c r="L38" s="688"/>
      <c r="M38" s="688"/>
      <c r="N38" s="770"/>
      <c r="O38" s="39"/>
      <c r="P38" s="43"/>
      <c r="Q38" s="775"/>
      <c r="R38" s="775"/>
      <c r="S38" s="775"/>
      <c r="T38" s="688"/>
      <c r="U38" s="688"/>
      <c r="V38" s="688"/>
      <c r="W38" s="770"/>
      <c r="X38" s="41"/>
      <c r="AA38" s="6" t="e">
        <f>VLOOKUP(D4,Responses!A:AU,22,0)</f>
        <v>#N/A</v>
      </c>
      <c r="AB38" s="6" t="e">
        <f>VLOOKUP(D4,Responses!A:AU,24,0)</f>
        <v>#N/A</v>
      </c>
      <c r="AC38" s="6" t="e">
        <f>CONCATENATE(AA38,",",AB38)</f>
        <v>#N/A</v>
      </c>
    </row>
    <row r="39" spans="1:29" s="6" customFormat="1" ht="6" customHeight="1" x14ac:dyDescent="0.35">
      <c r="A39" s="16"/>
      <c r="B39" s="9"/>
      <c r="C39" s="9"/>
      <c r="D39" s="9"/>
      <c r="E39" s="9"/>
      <c r="F39" s="9"/>
      <c r="G39" s="9"/>
      <c r="H39" s="9"/>
      <c r="I39" s="9"/>
      <c r="J39" s="9"/>
      <c r="K39" s="9"/>
      <c r="L39" s="9"/>
      <c r="M39" s="9"/>
      <c r="N39" s="9"/>
      <c r="O39" s="24"/>
      <c r="P39" s="44"/>
      <c r="Q39" s="9"/>
      <c r="R39" s="9"/>
      <c r="S39" s="9"/>
      <c r="T39" s="25"/>
      <c r="U39" s="9"/>
      <c r="V39" s="9"/>
      <c r="W39" s="10"/>
      <c r="X39" s="9"/>
    </row>
    <row r="40" spans="1:29" ht="15" thickBot="1" x14ac:dyDescent="0.4">
      <c r="A40" s="46" t="s">
        <v>378</v>
      </c>
      <c r="B40" s="47"/>
      <c r="C40" s="47"/>
      <c r="D40" s="47"/>
      <c r="E40" s="47"/>
      <c r="F40" s="47"/>
      <c r="G40" s="47"/>
      <c r="H40" s="47"/>
      <c r="I40" s="47"/>
      <c r="J40" s="47"/>
      <c r="K40" s="47"/>
      <c r="L40" s="47"/>
      <c r="M40" s="47"/>
      <c r="N40" s="48"/>
      <c r="O40" s="39"/>
      <c r="P40" s="49"/>
      <c r="Q40" s="50"/>
      <c r="R40" s="50"/>
      <c r="S40" s="50"/>
      <c r="T40" s="50"/>
      <c r="U40" s="50"/>
      <c r="V40" s="50"/>
      <c r="W40" s="51"/>
      <c r="X40" s="37"/>
      <c r="AA40" s="6"/>
      <c r="AB40" s="6"/>
      <c r="AC40" s="6"/>
    </row>
    <row r="41" spans="1:29" x14ac:dyDescent="0.35">
      <c r="A41" s="765" t="s">
        <v>380</v>
      </c>
      <c r="B41" s="766"/>
      <c r="C41" s="766"/>
      <c r="D41" s="766"/>
      <c r="E41" s="766"/>
      <c r="F41" s="766"/>
      <c r="G41" s="766"/>
      <c r="H41" s="53"/>
      <c r="I41" s="767"/>
      <c r="J41" s="767"/>
      <c r="K41" s="697"/>
      <c r="L41" s="697"/>
      <c r="M41" s="697"/>
      <c r="N41" s="698"/>
      <c r="O41" s="39"/>
      <c r="P41" s="54"/>
      <c r="Q41" s="768"/>
      <c r="R41" s="768"/>
      <c r="S41" s="768"/>
      <c r="T41" s="688"/>
      <c r="U41" s="688"/>
      <c r="V41" s="688"/>
      <c r="W41" s="770"/>
      <c r="X41" s="41"/>
      <c r="AA41" s="6" t="s">
        <v>379</v>
      </c>
    </row>
    <row r="42" spans="1:29" x14ac:dyDescent="0.35">
      <c r="A42" s="765" t="s">
        <v>382</v>
      </c>
      <c r="B42" s="766"/>
      <c r="C42" s="766"/>
      <c r="D42" s="766"/>
      <c r="E42" s="766"/>
      <c r="F42" s="766"/>
      <c r="G42" s="766"/>
      <c r="H42" s="53"/>
      <c r="I42" s="767">
        <f>H42*12</f>
        <v>0</v>
      </c>
      <c r="J42" s="767"/>
      <c r="K42" s="697"/>
      <c r="L42" s="697"/>
      <c r="M42" s="697"/>
      <c r="N42" s="698"/>
      <c r="O42" s="39"/>
      <c r="P42" s="54"/>
      <c r="Q42" s="768"/>
      <c r="R42" s="768"/>
      <c r="S42" s="768"/>
      <c r="T42" s="700"/>
      <c r="U42" s="700"/>
      <c r="V42" s="700"/>
      <c r="W42" s="769"/>
      <c r="X42" s="41"/>
      <c r="AA42" s="2" t="e">
        <f>VLOOKUP(D4,Responses!A:AU,26,0)</f>
        <v>#N/A</v>
      </c>
      <c r="AB42" s="2" t="e">
        <f>VLOOKUP(D4,Responses!A:AU,28,0)</f>
        <v>#N/A</v>
      </c>
      <c r="AC42" s="2" t="e">
        <f>CONCATENATE(AA42,",",AB42)</f>
        <v>#N/A</v>
      </c>
    </row>
    <row r="43" spans="1:29" ht="15" customHeight="1" thickBot="1" x14ac:dyDescent="0.4">
      <c r="A43" s="761" t="s">
        <v>384</v>
      </c>
      <c r="B43" s="762"/>
      <c r="C43" s="762"/>
      <c r="D43" s="762"/>
      <c r="E43" s="762"/>
      <c r="F43" s="762"/>
      <c r="G43" s="762"/>
      <c r="H43" s="55"/>
      <c r="I43" s="763"/>
      <c r="J43" s="763"/>
      <c r="K43" s="705"/>
      <c r="L43" s="705"/>
      <c r="M43" s="705"/>
      <c r="N43" s="706"/>
      <c r="O43" s="39"/>
      <c r="P43" s="56"/>
      <c r="Q43" s="707"/>
      <c r="R43" s="707"/>
      <c r="S43" s="707"/>
      <c r="T43" s="708"/>
      <c r="U43" s="709"/>
      <c r="V43" s="709"/>
      <c r="W43" s="764"/>
      <c r="X43" s="57"/>
    </row>
    <row r="44" spans="1:29" ht="15" thickBot="1" x14ac:dyDescent="0.4">
      <c r="A44" s="46" t="s">
        <v>385</v>
      </c>
      <c r="B44" s="47"/>
      <c r="C44" s="47"/>
      <c r="D44" s="47"/>
      <c r="E44" s="47"/>
      <c r="F44" s="47"/>
      <c r="G44" s="47"/>
      <c r="H44" s="58" t="e">
        <f>SUM(H35:H38,H36:H43)</f>
        <v>#N/A</v>
      </c>
      <c r="I44" s="711" t="e">
        <f>SUM(I35:J38,I41:J43)</f>
        <v>#N/A</v>
      </c>
      <c r="J44" s="712"/>
      <c r="K44" s="713"/>
      <c r="L44" s="714"/>
      <c r="M44" s="714"/>
      <c r="N44" s="715"/>
      <c r="O44" s="39"/>
      <c r="P44" s="59">
        <f>SUM(P35:P38,P41:P43)</f>
        <v>60000</v>
      </c>
      <c r="Q44" s="716">
        <f>SUM(Q35:S38,Q41:S43)</f>
        <v>720000</v>
      </c>
      <c r="R44" s="717"/>
      <c r="S44" s="718"/>
      <c r="T44" s="713"/>
      <c r="U44" s="714"/>
      <c r="V44" s="714"/>
      <c r="W44" s="760"/>
      <c r="X44" s="41"/>
      <c r="Y44" s="41"/>
    </row>
    <row r="45" spans="1:29" s="6" customFormat="1" ht="6" customHeight="1" thickBot="1" x14ac:dyDescent="0.4">
      <c r="A45" s="16"/>
      <c r="B45" s="9"/>
      <c r="C45" s="9"/>
      <c r="D45" s="9"/>
      <c r="E45" s="9"/>
      <c r="F45" s="9"/>
      <c r="G45" s="9"/>
      <c r="H45" s="9"/>
      <c r="I45" s="9"/>
      <c r="J45" s="9"/>
      <c r="K45" s="9"/>
      <c r="L45" s="9"/>
      <c r="M45" s="9"/>
      <c r="N45" s="9"/>
      <c r="O45" s="24"/>
      <c r="P45" s="9"/>
      <c r="Q45" s="9"/>
      <c r="R45" s="9"/>
      <c r="S45" s="9"/>
      <c r="T45" s="25"/>
      <c r="U45" s="9"/>
      <c r="V45" s="9"/>
      <c r="W45" s="10"/>
      <c r="X45" s="9"/>
    </row>
    <row r="46" spans="1:29" ht="12" customHeight="1" x14ac:dyDescent="0.35">
      <c r="A46" s="63"/>
      <c r="B46" s="64"/>
      <c r="C46" s="64"/>
      <c r="D46" s="64"/>
      <c r="E46" s="64"/>
      <c r="F46" s="64"/>
      <c r="G46" s="64"/>
      <c r="H46" s="65"/>
      <c r="I46" s="65"/>
      <c r="J46" s="65"/>
      <c r="K46" s="41"/>
      <c r="L46" s="41"/>
      <c r="M46" s="41"/>
      <c r="N46" s="41"/>
      <c r="O46" s="41"/>
      <c r="P46" s="41"/>
      <c r="Q46" s="65"/>
      <c r="R46" s="65"/>
      <c r="S46" s="65"/>
      <c r="T46" s="66"/>
      <c r="U46" s="66"/>
      <c r="V46" s="66"/>
      <c r="W46" s="67"/>
      <c r="X46" s="66"/>
    </row>
    <row r="47" spans="1:29" x14ac:dyDescent="0.35">
      <c r="A47" s="174"/>
      <c r="O47" s="39"/>
      <c r="P47" s="68" t="s">
        <v>470</v>
      </c>
      <c r="Q47" s="39"/>
      <c r="R47" s="39"/>
      <c r="S47" s="39"/>
      <c r="T47" s="39"/>
      <c r="W47" s="175"/>
    </row>
    <row r="48" spans="1:29" x14ac:dyDescent="0.35">
      <c r="A48" s="174"/>
      <c r="O48" s="39"/>
      <c r="P48" s="732" t="s">
        <v>34</v>
      </c>
      <c r="Q48" s="732"/>
      <c r="R48" s="725" t="s">
        <v>4</v>
      </c>
      <c r="S48" s="726"/>
      <c r="T48" s="727"/>
      <c r="W48" s="175"/>
    </row>
    <row r="49" spans="1:24" x14ac:dyDescent="0.35">
      <c r="A49" s="174"/>
      <c r="O49" s="39"/>
      <c r="P49" s="733" t="e">
        <f>(P44-H44)/H44</f>
        <v>#N/A</v>
      </c>
      <c r="Q49" s="733"/>
      <c r="R49" s="728" t="e">
        <f>(Q44-I44)/I44</f>
        <v>#N/A</v>
      </c>
      <c r="S49" s="729"/>
      <c r="T49" s="730"/>
      <c r="W49" s="175"/>
    </row>
    <row r="50" spans="1:24" ht="12.75" customHeight="1" x14ac:dyDescent="0.35">
      <c r="A50" s="71"/>
      <c r="B50" s="71"/>
      <c r="C50" s="71"/>
      <c r="D50" s="71"/>
      <c r="E50" s="71"/>
      <c r="F50" s="71"/>
      <c r="G50" s="71"/>
      <c r="H50" s="71"/>
      <c r="I50" s="71"/>
      <c r="J50" s="71"/>
      <c r="K50" s="71"/>
      <c r="L50" s="71"/>
      <c r="M50" s="71"/>
      <c r="N50" s="71"/>
      <c r="O50" s="39"/>
      <c r="W50" s="69"/>
    </row>
    <row r="51" spans="1:24" ht="3.75" customHeight="1" x14ac:dyDescent="0.35">
      <c r="A51" s="61"/>
      <c r="B51" s="39"/>
      <c r="C51" s="39"/>
      <c r="D51" s="39"/>
      <c r="E51" s="39"/>
      <c r="F51" s="39"/>
      <c r="G51" s="39"/>
      <c r="H51" s="39"/>
      <c r="I51" s="39"/>
      <c r="J51" s="39"/>
      <c r="K51" s="39"/>
      <c r="L51" s="39"/>
      <c r="M51" s="39"/>
      <c r="N51" s="39"/>
      <c r="O51" s="39"/>
      <c r="P51" s="39"/>
      <c r="Q51" s="39"/>
      <c r="R51" s="39"/>
      <c r="S51" s="39"/>
      <c r="T51" s="39"/>
      <c r="U51" s="39"/>
      <c r="V51" s="39"/>
      <c r="W51" s="62"/>
      <c r="X51" s="39"/>
    </row>
    <row r="52" spans="1:24" ht="3" customHeight="1" thickBot="1" x14ac:dyDescent="0.4">
      <c r="A52" s="61"/>
      <c r="B52" s="39"/>
      <c r="C52" s="39"/>
      <c r="D52" s="39"/>
      <c r="E52" s="39"/>
      <c r="F52" s="39"/>
      <c r="G52" s="39"/>
      <c r="H52" s="39"/>
      <c r="I52" s="39"/>
      <c r="J52" s="39"/>
      <c r="K52" s="39"/>
      <c r="L52" s="39"/>
      <c r="M52" s="39"/>
      <c r="N52" s="39"/>
      <c r="O52" s="39"/>
      <c r="P52" s="39"/>
      <c r="Q52" s="39"/>
      <c r="R52" s="39"/>
      <c r="S52" s="39"/>
      <c r="T52" s="39"/>
      <c r="U52" s="39"/>
      <c r="V52" s="39"/>
      <c r="W52" s="62"/>
      <c r="X52" s="39"/>
    </row>
    <row r="53" spans="1:24" ht="15" thickBot="1" x14ac:dyDescent="0.4">
      <c r="A53" s="11" t="s">
        <v>393</v>
      </c>
      <c r="B53" s="12"/>
      <c r="C53" s="12"/>
      <c r="D53" s="12"/>
      <c r="E53" s="12"/>
      <c r="F53" s="12" t="s">
        <v>394</v>
      </c>
      <c r="G53" s="12"/>
      <c r="H53" s="12"/>
      <c r="I53" s="12"/>
      <c r="J53" s="12"/>
      <c r="K53" s="12"/>
      <c r="L53" s="12"/>
      <c r="M53" s="12"/>
      <c r="N53" s="12"/>
      <c r="O53" s="12"/>
      <c r="P53" s="12"/>
      <c r="Q53" s="12"/>
      <c r="R53" s="12"/>
      <c r="S53" s="12"/>
      <c r="T53" s="12"/>
      <c r="U53" s="12"/>
      <c r="V53" s="12"/>
      <c r="W53" s="13"/>
      <c r="X53" s="14"/>
    </row>
    <row r="54" spans="1:24" x14ac:dyDescent="0.35">
      <c r="A54" s="76"/>
      <c r="B54" s="77"/>
      <c r="C54" s="77"/>
      <c r="D54" s="9"/>
      <c r="E54" s="9"/>
      <c r="F54" s="77" t="s">
        <v>395</v>
      </c>
      <c r="G54" s="77"/>
      <c r="H54" s="77"/>
      <c r="I54" s="77"/>
      <c r="J54" s="77" t="s">
        <v>396</v>
      </c>
      <c r="K54" s="78"/>
      <c r="L54" s="77"/>
      <c r="M54" s="9"/>
      <c r="N54" s="9"/>
      <c r="O54" s="8"/>
      <c r="P54" s="8"/>
      <c r="Q54" s="9"/>
      <c r="R54" s="8"/>
      <c r="S54" s="9"/>
      <c r="T54" s="9"/>
      <c r="U54" s="9"/>
      <c r="V54" s="9"/>
      <c r="W54" s="10"/>
      <c r="X54" s="9"/>
    </row>
    <row r="55" spans="1:24" ht="20.149999999999999" customHeight="1" x14ac:dyDescent="0.35">
      <c r="A55" s="16"/>
      <c r="B55" s="9"/>
      <c r="C55" s="9"/>
      <c r="D55" s="9"/>
      <c r="E55" s="9"/>
      <c r="F55" s="9"/>
      <c r="G55" s="9"/>
      <c r="H55" s="9"/>
      <c r="I55" s="9"/>
      <c r="J55" s="9"/>
      <c r="K55" s="9"/>
      <c r="L55" s="9"/>
      <c r="M55" s="9"/>
      <c r="N55" s="9"/>
      <c r="O55" s="9"/>
      <c r="P55" s="9"/>
      <c r="Q55" s="9"/>
      <c r="R55" s="9"/>
      <c r="S55" s="9"/>
      <c r="T55" s="9"/>
      <c r="U55" s="9"/>
      <c r="V55" s="9"/>
      <c r="W55" s="10"/>
      <c r="X55" s="9"/>
    </row>
    <row r="56" spans="1:24" x14ac:dyDescent="0.3">
      <c r="A56" s="79"/>
      <c r="B56" s="80"/>
      <c r="C56" s="80"/>
      <c r="D56" s="9"/>
      <c r="E56" s="9"/>
      <c r="F56" s="731"/>
      <c r="G56" s="731"/>
      <c r="H56" s="731"/>
      <c r="I56" s="8"/>
      <c r="J56" s="8" t="s">
        <v>463</v>
      </c>
      <c r="K56" s="8"/>
      <c r="L56" s="8"/>
      <c r="M56" s="8"/>
      <c r="N56" s="8"/>
      <c r="O56" s="8"/>
      <c r="P56" s="9"/>
      <c r="Q56" s="9"/>
      <c r="R56" s="9"/>
      <c r="S56" s="9"/>
      <c r="T56" s="8"/>
      <c r="U56" s="9"/>
      <c r="V56" s="9"/>
      <c r="W56" s="10"/>
      <c r="X56" s="9"/>
    </row>
    <row r="57" spans="1:24" ht="15" thickBot="1" x14ac:dyDescent="0.4">
      <c r="A57" s="81"/>
      <c r="B57" s="82"/>
      <c r="C57" s="82"/>
      <c r="D57" s="82"/>
      <c r="E57" s="82"/>
      <c r="F57" s="82" t="s">
        <v>456</v>
      </c>
      <c r="G57" s="82"/>
      <c r="H57" s="82"/>
      <c r="I57" s="82"/>
      <c r="J57" s="82" t="s">
        <v>402</v>
      </c>
      <c r="K57" s="82"/>
      <c r="L57" s="82"/>
      <c r="M57" s="82"/>
      <c r="N57" s="82"/>
      <c r="O57" s="82"/>
      <c r="P57" s="82"/>
      <c r="Q57" s="82"/>
      <c r="R57" s="82"/>
      <c r="S57" s="82"/>
      <c r="T57" s="82"/>
      <c r="U57" s="82"/>
      <c r="V57" s="82"/>
      <c r="W57" s="83"/>
      <c r="X57" s="84"/>
    </row>
    <row r="58" spans="1:24" x14ac:dyDescent="0.35">
      <c r="W58" s="2" t="s">
        <v>471</v>
      </c>
    </row>
    <row r="59" spans="1:24" x14ac:dyDescent="0.35">
      <c r="V59" s="85"/>
      <c r="W59" s="86"/>
      <c r="X59" s="86"/>
    </row>
    <row r="60" spans="1:24" x14ac:dyDescent="0.35">
      <c r="V60" s="85"/>
      <c r="W60" s="86"/>
      <c r="X60" s="86"/>
    </row>
    <row r="61" spans="1:24" x14ac:dyDescent="0.35">
      <c r="V61" s="85"/>
      <c r="W61" s="86"/>
      <c r="X61" s="86"/>
    </row>
    <row r="62" spans="1:24" x14ac:dyDescent="0.35">
      <c r="V62" s="85"/>
      <c r="W62" s="86"/>
      <c r="X62" s="86"/>
    </row>
    <row r="63" spans="1:24" x14ac:dyDescent="0.35">
      <c r="V63" s="85"/>
      <c r="W63" s="86"/>
      <c r="X63" s="86"/>
    </row>
    <row r="64" spans="1:24" x14ac:dyDescent="0.35">
      <c r="V64" s="85"/>
      <c r="W64" s="86"/>
      <c r="X64" s="86"/>
    </row>
    <row r="65" spans="22:24" x14ac:dyDescent="0.35">
      <c r="V65" s="85"/>
      <c r="W65" s="86"/>
      <c r="X65" s="86"/>
    </row>
    <row r="66" spans="22:24" x14ac:dyDescent="0.35">
      <c r="V66" s="85"/>
      <c r="W66" s="86"/>
      <c r="X66" s="86"/>
    </row>
    <row r="67" spans="22:24" x14ac:dyDescent="0.35">
      <c r="V67" s="85"/>
      <c r="W67" s="86"/>
      <c r="X67" s="86"/>
    </row>
    <row r="68" spans="22:24" x14ac:dyDescent="0.35">
      <c r="V68" s="85"/>
      <c r="W68" s="86"/>
      <c r="X68" s="86"/>
    </row>
    <row r="69" spans="22:24" x14ac:dyDescent="0.35">
      <c r="V69" s="85"/>
      <c r="W69" s="86"/>
      <c r="X69" s="86"/>
    </row>
    <row r="70" spans="22:24" x14ac:dyDescent="0.35">
      <c r="V70" s="85"/>
      <c r="W70" s="86"/>
      <c r="X70" s="86"/>
    </row>
    <row r="71" spans="22:24" x14ac:dyDescent="0.35">
      <c r="V71" s="85"/>
      <c r="W71" s="86"/>
      <c r="X71" s="86"/>
    </row>
    <row r="72" spans="22:24" x14ac:dyDescent="0.35">
      <c r="V72" s="85"/>
      <c r="W72" s="86"/>
      <c r="X72" s="86"/>
    </row>
    <row r="73" spans="22:24" x14ac:dyDescent="0.35">
      <c r="V73" s="85"/>
      <c r="W73" s="86"/>
      <c r="X73" s="86"/>
    </row>
    <row r="74" spans="22:24" x14ac:dyDescent="0.35">
      <c r="W74" s="87"/>
      <c r="X74" s="87"/>
    </row>
    <row r="75" spans="22:24" x14ac:dyDescent="0.35">
      <c r="W75" s="86"/>
      <c r="X75" s="86"/>
    </row>
    <row r="76" spans="22:24" x14ac:dyDescent="0.35">
      <c r="W76" s="86"/>
      <c r="X76" s="86"/>
    </row>
    <row r="77" spans="22:24" ht="15" thickBot="1" x14ac:dyDescent="0.4"/>
    <row r="78" spans="22:24" ht="15" thickBot="1" x14ac:dyDescent="0.4">
      <c r="V78" s="88"/>
      <c r="W78" s="89"/>
      <c r="X78" s="90"/>
    </row>
    <row r="79" spans="22:24" ht="15" thickBot="1" x14ac:dyDescent="0.4">
      <c r="V79" s="91"/>
      <c r="W79" s="92"/>
      <c r="X79" s="93"/>
    </row>
    <row r="80" spans="22:24" ht="15" thickBot="1" x14ac:dyDescent="0.4">
      <c r="V80" s="91"/>
      <c r="W80" s="92"/>
      <c r="X80" s="93"/>
    </row>
    <row r="81" spans="22:24" ht="15" thickBot="1" x14ac:dyDescent="0.4">
      <c r="V81" s="91"/>
      <c r="W81" s="92"/>
      <c r="X81" s="93"/>
    </row>
    <row r="82" spans="22:24" ht="15" thickBot="1" x14ac:dyDescent="0.4">
      <c r="V82" s="91"/>
      <c r="W82" s="92"/>
      <c r="X82" s="93"/>
    </row>
    <row r="83" spans="22:24" ht="15" thickBot="1" x14ac:dyDescent="0.4">
      <c r="V83" s="91"/>
      <c r="W83" s="92"/>
      <c r="X83" s="93"/>
    </row>
    <row r="84" spans="22:24" ht="15" thickBot="1" x14ac:dyDescent="0.4">
      <c r="V84" s="91"/>
      <c r="W84" s="92"/>
      <c r="X84" s="93"/>
    </row>
  </sheetData>
  <mergeCells count="77">
    <mergeCell ref="A1:W1"/>
    <mergeCell ref="A2:W2"/>
    <mergeCell ref="B20:D20"/>
    <mergeCell ref="E20:H20"/>
    <mergeCell ref="B17:D17"/>
    <mergeCell ref="E17:H17"/>
    <mergeCell ref="N17:P17"/>
    <mergeCell ref="B18:D18"/>
    <mergeCell ref="E18:H18"/>
    <mergeCell ref="N18:P18"/>
    <mergeCell ref="B19:D19"/>
    <mergeCell ref="E19:H19"/>
    <mergeCell ref="N19:P19"/>
    <mergeCell ref="N20:P20"/>
    <mergeCell ref="E8:M8"/>
    <mergeCell ref="R8:V8"/>
    <mergeCell ref="E10:M10"/>
    <mergeCell ref="R10:V10"/>
    <mergeCell ref="A12:D12"/>
    <mergeCell ref="E12:M12"/>
    <mergeCell ref="R12:V12"/>
    <mergeCell ref="T33:W33"/>
    <mergeCell ref="A35:G35"/>
    <mergeCell ref="I35:J35"/>
    <mergeCell ref="K35:N35"/>
    <mergeCell ref="Q35:S35"/>
    <mergeCell ref="T35:W35"/>
    <mergeCell ref="A32:G33"/>
    <mergeCell ref="H32:N32"/>
    <mergeCell ref="P32:W32"/>
    <mergeCell ref="I33:J33"/>
    <mergeCell ref="K33:N33"/>
    <mergeCell ref="Q33:S33"/>
    <mergeCell ref="A36:G36"/>
    <mergeCell ref="I36:J36"/>
    <mergeCell ref="K36:N36"/>
    <mergeCell ref="Q36:S36"/>
    <mergeCell ref="T36:W36"/>
    <mergeCell ref="A37:G37"/>
    <mergeCell ref="I37:J37"/>
    <mergeCell ref="K37:N37"/>
    <mergeCell ref="Q37:S37"/>
    <mergeCell ref="T37:W37"/>
    <mergeCell ref="A38:G38"/>
    <mergeCell ref="I38:J38"/>
    <mergeCell ref="K38:N38"/>
    <mergeCell ref="Q38:S38"/>
    <mergeCell ref="T38:W38"/>
    <mergeCell ref="A41:G41"/>
    <mergeCell ref="I41:J41"/>
    <mergeCell ref="K41:N41"/>
    <mergeCell ref="Q41:S41"/>
    <mergeCell ref="T41:W41"/>
    <mergeCell ref="K43:N43"/>
    <mergeCell ref="Q43:S43"/>
    <mergeCell ref="T43:W43"/>
    <mergeCell ref="A42:G42"/>
    <mergeCell ref="I42:J42"/>
    <mergeCell ref="K42:N42"/>
    <mergeCell ref="Q42:S42"/>
    <mergeCell ref="T42:W42"/>
    <mergeCell ref="I4:M4"/>
    <mergeCell ref="F56:H56"/>
    <mergeCell ref="P49:Q49"/>
    <mergeCell ref="R49:T49"/>
    <mergeCell ref="B21:D21"/>
    <mergeCell ref="E21:H21"/>
    <mergeCell ref="B22:D22"/>
    <mergeCell ref="E22:H22"/>
    <mergeCell ref="I44:J44"/>
    <mergeCell ref="K44:N44"/>
    <mergeCell ref="Q44:S44"/>
    <mergeCell ref="T44:W44"/>
    <mergeCell ref="P48:Q48"/>
    <mergeCell ref="R48:T48"/>
    <mergeCell ref="A43:G43"/>
    <mergeCell ref="I43:J43"/>
  </mergeCells>
  <dataValidations count="5">
    <dataValidation allowBlank="1" showInputMessage="1" showErrorMessage="1" sqref="E22:H22" xr:uid="{DC7AE1B7-501B-44F6-87EA-1ADB33CF2A0A}"/>
    <dataValidation type="list" allowBlank="1" showInputMessage="1" showErrorMessage="1" sqref="W49:Z49" xr:uid="{2CC9D7FE-F67B-4EC4-9CA9-972D9DFB2871}">
      <formula1>$W$79:$W$80</formula1>
    </dataValidation>
    <dataValidation type="list" allowBlank="1" showInputMessage="1" showErrorMessage="1" sqref="W48:Z48" xr:uid="{35377AC7-10AE-4E1D-8772-BA2FE31DD189}">
      <formula1>$W$63:$W$77</formula1>
    </dataValidation>
    <dataValidation type="list" allowBlank="1" showInputMessage="1" showErrorMessage="1" sqref="W50:X50" xr:uid="{B0EF7688-EE35-4F9E-B3CC-097F3BCFEB06}">
      <formula1>$W$75:$W$76</formula1>
    </dataValidation>
    <dataValidation allowBlank="1" showInputMessage="1" showErrorMessage="1" prompt="from LCM" sqref="A12:D12" xr:uid="{6B048DFF-2A6F-4836-863C-43B15052F2C2}"/>
  </dataValidations>
  <printOptions horizontalCentered="1" verticalCentered="1"/>
  <pageMargins left="0.23622047244094491" right="0.23622047244094491" top="0.23622047244094491" bottom="0.23622047244094491" header="3.937007874015748E-2" footer="3.937007874015748E-2"/>
  <pageSetup paperSize="5" scale="75" orientation="portrait" r:id="rId1"/>
  <headerFooter scaleWithDoc="0" alignWithMargins="0"/>
  <extLst>
    <ext xmlns:x14="http://schemas.microsoft.com/office/spreadsheetml/2009/9/main" uri="{CCE6A557-97BC-4b89-ADB6-D9C93CAAB3DF}">
      <x14:dataValidations xmlns:xm="http://schemas.microsoft.com/office/excel/2006/main" count="12">
        <x14:dataValidation type="list" allowBlank="1" showInputMessage="1" showErrorMessage="1" xr:uid="{207BC6E6-4E2B-47FC-A1F6-C98D16B51F72}">
          <x14:formula1>
            <xm:f>'Drop Down List'!$B$6:$B$7</xm:f>
          </x14:formula1>
          <xm:sqref>E17:H17</xm:sqref>
        </x14:dataValidation>
        <x14:dataValidation type="list" allowBlank="1" showInputMessage="1" showErrorMessage="1" xr:uid="{BDF4D522-860A-46A3-BEBE-5AF4F70FE26C}">
          <x14:formula1>
            <xm:f>'Drop Down List'!$B$8:$B$16</xm:f>
          </x14:formula1>
          <xm:sqref>E18:H18</xm:sqref>
        </x14:dataValidation>
        <x14:dataValidation type="list" allowBlank="1" showInputMessage="1" showErrorMessage="1" xr:uid="{C6146E56-4B5B-4442-BD4D-0C80F42AFB14}">
          <x14:formula1>
            <xm:f>'Drop Down List'!$B$17:$B$26</xm:f>
          </x14:formula1>
          <xm:sqref>E19:H19</xm:sqref>
        </x14:dataValidation>
        <x14:dataValidation type="list" allowBlank="1" showInputMessage="1" showErrorMessage="1" xr:uid="{7E12732D-F9E8-4553-83E1-B6290698E9FB}">
          <x14:formula1>
            <xm:f>'Drop Down List'!$B$27:$B$29</xm:f>
          </x14:formula1>
          <xm:sqref>E20:H20</xm:sqref>
        </x14:dataValidation>
        <x14:dataValidation type="list" allowBlank="1" showInputMessage="1" showErrorMessage="1" xr:uid="{1D25E9F0-DBF4-45BC-A869-6EDDAAC98F58}">
          <x14:formula1>
            <xm:f>'Drop Down List'!$B$30:$B$31</xm:f>
          </x14:formula1>
          <xm:sqref>E21:H21</xm:sqref>
        </x14:dataValidation>
        <x14:dataValidation type="list" allowBlank="1" showInputMessage="1" showErrorMessage="1" xr:uid="{8386FE4E-2905-4420-83AC-478D5C9DC8C1}">
          <x14:formula1>
            <xm:f>'Drop Down List'!$F$2:$F$16</xm:f>
          </x14:formula1>
          <xm:sqref>Q17</xm:sqref>
        </x14:dataValidation>
        <x14:dataValidation type="list" allowBlank="1" showInputMessage="1" showErrorMessage="1" xr:uid="{1F9FF9C2-5031-4C91-BE38-F1F2FD21227B}">
          <x14:formula1>
            <xm:f>'Drop Down List'!$E$18:$E$20</xm:f>
          </x14:formula1>
          <xm:sqref>Q18</xm:sqref>
        </x14:dataValidation>
        <x14:dataValidation type="list" allowBlank="1" showInputMessage="1" showErrorMessage="1" xr:uid="{6B49E72D-F807-45F9-BFC8-510AEA9D35E5}">
          <x14:formula1>
            <xm:f>'Drop Down List'!$E$21:$E$23</xm:f>
          </x14:formula1>
          <xm:sqref>Q19</xm:sqref>
        </x14:dataValidation>
        <x14:dataValidation type="list" allowBlank="1" showInputMessage="1" showErrorMessage="1" xr:uid="{654F7685-B0A9-4EF7-96D2-AD51B3B34837}">
          <x14:formula1>
            <xm:f>'Drop Down List'!$E$24:$E$26</xm:f>
          </x14:formula1>
          <xm:sqref>Q20</xm:sqref>
        </x14:dataValidation>
        <x14:dataValidation type="list" allowBlank="1" showInputMessage="1" showErrorMessage="1" xr:uid="{C0DA767B-242F-448D-8CB5-AE79E04E93F1}">
          <x14:formula1>
            <xm:f>'Drop Down List'!$E$47:$E$51</xm:f>
          </x14:formula1>
          <xm:sqref>R8:V8</xm:sqref>
        </x14:dataValidation>
        <x14:dataValidation type="list" allowBlank="1" showInputMessage="1" showErrorMessage="1" xr:uid="{52062CC3-C008-45B7-BA44-86A9B7D23A2F}">
          <x14:formula1>
            <xm:f>'Drop Down List'!$B$46:$B$49</xm:f>
          </x14:formula1>
          <xm:sqref>F56:H56</xm:sqref>
        </x14:dataValidation>
        <x14:dataValidation type="list" allowBlank="1" showInputMessage="1" showErrorMessage="1" xr:uid="{CBF17F22-39BD-456A-BCE8-62362CE07132}">
          <x14:formula1>
            <xm:f>'Drop Down List'!$B$57:$B$58</xm:f>
          </x14:formula1>
          <xm:sqref>I4:M4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7C5A9-F303-48A7-B341-4FEF7F0B4492}">
  <sheetPr>
    <tabColor theme="9" tint="-0.249977111117893"/>
    <pageSetUpPr fitToPage="1"/>
  </sheetPr>
  <dimension ref="A1:WVM28"/>
  <sheetViews>
    <sheetView zoomScale="90" zoomScaleNormal="90" zoomScaleSheetLayoutView="80" workbookViewId="0">
      <selection activeCell="B8" sqref="B8"/>
    </sheetView>
  </sheetViews>
  <sheetFormatPr defaultColWidth="0" defaultRowHeight="12.5" x14ac:dyDescent="0.25"/>
  <cols>
    <col min="1" max="1" width="25.81640625" style="113" bestFit="1" customWidth="1"/>
    <col min="2" max="2" width="33.453125" style="113" bestFit="1" customWidth="1"/>
    <col min="3" max="3" width="30.7265625" style="113" customWidth="1"/>
    <col min="4" max="4" width="45" style="113" customWidth="1"/>
    <col min="5" max="5" width="2.7265625" style="113" customWidth="1"/>
    <col min="6" max="253" width="0" style="113" hidden="1"/>
    <col min="254" max="254" width="2.26953125" style="113" hidden="1"/>
    <col min="255" max="256" width="2.7265625" style="113" hidden="1"/>
    <col min="257" max="257" width="15.7265625" style="113" hidden="1"/>
    <col min="258" max="258" width="20.7265625" style="113" hidden="1"/>
    <col min="259" max="259" width="30.7265625" style="113" hidden="1"/>
    <col min="260" max="260" width="45" style="113" hidden="1"/>
    <col min="261" max="261" width="2.7265625" style="113" hidden="1"/>
    <col min="262" max="509" width="0" style="113" hidden="1"/>
    <col min="510" max="510" width="2.26953125" style="113" hidden="1"/>
    <col min="511" max="512" width="2.7265625" style="113" hidden="1"/>
    <col min="513" max="513" width="15.7265625" style="113" hidden="1"/>
    <col min="514" max="514" width="20.7265625" style="113" hidden="1"/>
    <col min="515" max="515" width="30.7265625" style="113" hidden="1"/>
    <col min="516" max="516" width="45" style="113" hidden="1"/>
    <col min="517" max="517" width="2.7265625" style="113" hidden="1"/>
    <col min="518" max="765" width="0" style="113" hidden="1"/>
    <col min="766" max="766" width="2.26953125" style="113" hidden="1"/>
    <col min="767" max="768" width="2.7265625" style="113" hidden="1"/>
    <col min="769" max="769" width="15.7265625" style="113" hidden="1"/>
    <col min="770" max="770" width="20.7265625" style="113" hidden="1"/>
    <col min="771" max="771" width="30.7265625" style="113" hidden="1"/>
    <col min="772" max="772" width="45" style="113" hidden="1"/>
    <col min="773" max="773" width="2.7265625" style="113" hidden="1"/>
    <col min="774" max="1021" width="0" style="113" hidden="1"/>
    <col min="1022" max="1022" width="2.26953125" style="113" hidden="1"/>
    <col min="1023" max="1024" width="2.7265625" style="113" hidden="1"/>
    <col min="1025" max="1025" width="15.7265625" style="113" hidden="1"/>
    <col min="1026" max="1026" width="20.7265625" style="113" hidden="1"/>
    <col min="1027" max="1027" width="30.7265625" style="113" hidden="1"/>
    <col min="1028" max="1028" width="45" style="113" hidden="1"/>
    <col min="1029" max="1029" width="2.7265625" style="113" hidden="1"/>
    <col min="1030" max="1277" width="0" style="113" hidden="1"/>
    <col min="1278" max="1278" width="2.26953125" style="113" hidden="1"/>
    <col min="1279" max="1280" width="2.7265625" style="113" hidden="1"/>
    <col min="1281" max="1281" width="15.7265625" style="113" hidden="1"/>
    <col min="1282" max="1282" width="20.7265625" style="113" hidden="1"/>
    <col min="1283" max="1283" width="30.7265625" style="113" hidden="1"/>
    <col min="1284" max="1284" width="45" style="113" hidden="1"/>
    <col min="1285" max="1285" width="2.7265625" style="113" hidden="1"/>
    <col min="1286" max="1533" width="0" style="113" hidden="1"/>
    <col min="1534" max="1534" width="2.26953125" style="113" hidden="1"/>
    <col min="1535" max="1536" width="2.7265625" style="113" hidden="1"/>
    <col min="1537" max="1537" width="15.7265625" style="113" hidden="1"/>
    <col min="1538" max="1538" width="20.7265625" style="113" hidden="1"/>
    <col min="1539" max="1539" width="30.7265625" style="113" hidden="1"/>
    <col min="1540" max="1540" width="45" style="113" hidden="1"/>
    <col min="1541" max="1541" width="2.7265625" style="113" hidden="1"/>
    <col min="1542" max="1789" width="0" style="113" hidden="1"/>
    <col min="1790" max="1790" width="2.26953125" style="113" hidden="1"/>
    <col min="1791" max="1792" width="2.7265625" style="113" hidden="1"/>
    <col min="1793" max="1793" width="15.7265625" style="113" hidden="1"/>
    <col min="1794" max="1794" width="20.7265625" style="113" hidden="1"/>
    <col min="1795" max="1795" width="30.7265625" style="113" hidden="1"/>
    <col min="1796" max="1796" width="45" style="113" hidden="1"/>
    <col min="1797" max="1797" width="2.7265625" style="113" hidden="1"/>
    <col min="1798" max="2045" width="0" style="113" hidden="1"/>
    <col min="2046" max="2046" width="2.26953125" style="113" hidden="1"/>
    <col min="2047" max="2048" width="2.7265625" style="113" hidden="1"/>
    <col min="2049" max="2049" width="15.7265625" style="113" hidden="1"/>
    <col min="2050" max="2050" width="20.7265625" style="113" hidden="1"/>
    <col min="2051" max="2051" width="30.7265625" style="113" hidden="1"/>
    <col min="2052" max="2052" width="45" style="113" hidden="1"/>
    <col min="2053" max="2053" width="2.7265625" style="113" hidden="1"/>
    <col min="2054" max="2301" width="0" style="113" hidden="1"/>
    <col min="2302" max="2302" width="2.26953125" style="113" hidden="1"/>
    <col min="2303" max="2304" width="2.7265625" style="113" hidden="1"/>
    <col min="2305" max="2305" width="15.7265625" style="113" hidden="1"/>
    <col min="2306" max="2306" width="20.7265625" style="113" hidden="1"/>
    <col min="2307" max="2307" width="30.7265625" style="113" hidden="1"/>
    <col min="2308" max="2308" width="45" style="113" hidden="1"/>
    <col min="2309" max="2309" width="2.7265625" style="113" hidden="1"/>
    <col min="2310" max="2557" width="0" style="113" hidden="1"/>
    <col min="2558" max="2558" width="2.26953125" style="113" hidden="1"/>
    <col min="2559" max="2560" width="2.7265625" style="113" hidden="1"/>
    <col min="2561" max="2561" width="15.7265625" style="113" hidden="1"/>
    <col min="2562" max="2562" width="20.7265625" style="113" hidden="1"/>
    <col min="2563" max="2563" width="30.7265625" style="113" hidden="1"/>
    <col min="2564" max="2564" width="45" style="113" hidden="1"/>
    <col min="2565" max="2565" width="2.7265625" style="113" hidden="1"/>
    <col min="2566" max="2813" width="0" style="113" hidden="1"/>
    <col min="2814" max="2814" width="2.26953125" style="113" hidden="1"/>
    <col min="2815" max="2816" width="2.7265625" style="113" hidden="1"/>
    <col min="2817" max="2817" width="15.7265625" style="113" hidden="1"/>
    <col min="2818" max="2818" width="20.7265625" style="113" hidden="1"/>
    <col min="2819" max="2819" width="30.7265625" style="113" hidden="1"/>
    <col min="2820" max="2820" width="45" style="113" hidden="1"/>
    <col min="2821" max="2821" width="2.7265625" style="113" hidden="1"/>
    <col min="2822" max="3069" width="0" style="113" hidden="1"/>
    <col min="3070" max="3070" width="2.26953125" style="113" hidden="1"/>
    <col min="3071" max="3072" width="2.7265625" style="113" hidden="1"/>
    <col min="3073" max="3073" width="15.7265625" style="113" hidden="1"/>
    <col min="3074" max="3074" width="20.7265625" style="113" hidden="1"/>
    <col min="3075" max="3075" width="30.7265625" style="113" hidden="1"/>
    <col min="3076" max="3076" width="45" style="113" hidden="1"/>
    <col min="3077" max="3077" width="2.7265625" style="113" hidden="1"/>
    <col min="3078" max="3325" width="0" style="113" hidden="1"/>
    <col min="3326" max="3326" width="2.26953125" style="113" hidden="1"/>
    <col min="3327" max="3328" width="2.7265625" style="113" hidden="1"/>
    <col min="3329" max="3329" width="15.7265625" style="113" hidden="1"/>
    <col min="3330" max="3330" width="20.7265625" style="113" hidden="1"/>
    <col min="3331" max="3331" width="30.7265625" style="113" hidden="1"/>
    <col min="3332" max="3332" width="45" style="113" hidden="1"/>
    <col min="3333" max="3333" width="2.7265625" style="113" hidden="1"/>
    <col min="3334" max="3581" width="0" style="113" hidden="1"/>
    <col min="3582" max="3582" width="2.26953125" style="113" hidden="1"/>
    <col min="3583" max="3584" width="2.7265625" style="113" hidden="1"/>
    <col min="3585" max="3585" width="15.7265625" style="113" hidden="1"/>
    <col min="3586" max="3586" width="20.7265625" style="113" hidden="1"/>
    <col min="3587" max="3587" width="30.7265625" style="113" hidden="1"/>
    <col min="3588" max="3588" width="45" style="113" hidden="1"/>
    <col min="3589" max="3589" width="2.7265625" style="113" hidden="1"/>
    <col min="3590" max="3837" width="0" style="113" hidden="1"/>
    <col min="3838" max="3838" width="2.26953125" style="113" hidden="1"/>
    <col min="3839" max="3840" width="2.7265625" style="113" hidden="1"/>
    <col min="3841" max="3841" width="15.7265625" style="113" hidden="1"/>
    <col min="3842" max="3842" width="20.7265625" style="113" hidden="1"/>
    <col min="3843" max="3843" width="30.7265625" style="113" hidden="1"/>
    <col min="3844" max="3844" width="45" style="113" hidden="1"/>
    <col min="3845" max="3845" width="2.7265625" style="113" hidden="1"/>
    <col min="3846" max="4093" width="0" style="113" hidden="1"/>
    <col min="4094" max="4094" width="2.26953125" style="113" hidden="1"/>
    <col min="4095" max="4096" width="2.7265625" style="113" hidden="1"/>
    <col min="4097" max="4097" width="15.7265625" style="113" hidden="1"/>
    <col min="4098" max="4098" width="20.7265625" style="113" hidden="1"/>
    <col min="4099" max="4099" width="30.7265625" style="113" hidden="1"/>
    <col min="4100" max="4100" width="45" style="113" hidden="1"/>
    <col min="4101" max="4101" width="2.7265625" style="113" hidden="1"/>
    <col min="4102" max="4349" width="0" style="113" hidden="1"/>
    <col min="4350" max="4350" width="2.26953125" style="113" hidden="1"/>
    <col min="4351" max="4352" width="2.7265625" style="113" hidden="1"/>
    <col min="4353" max="4353" width="15.7265625" style="113" hidden="1"/>
    <col min="4354" max="4354" width="20.7265625" style="113" hidden="1"/>
    <col min="4355" max="4355" width="30.7265625" style="113" hidden="1"/>
    <col min="4356" max="4356" width="45" style="113" hidden="1"/>
    <col min="4357" max="4357" width="2.7265625" style="113" hidden="1"/>
    <col min="4358" max="4605" width="0" style="113" hidden="1"/>
    <col min="4606" max="4606" width="2.26953125" style="113" hidden="1"/>
    <col min="4607" max="4608" width="2.7265625" style="113" hidden="1"/>
    <col min="4609" max="4609" width="15.7265625" style="113" hidden="1"/>
    <col min="4610" max="4610" width="20.7265625" style="113" hidden="1"/>
    <col min="4611" max="4611" width="30.7265625" style="113" hidden="1"/>
    <col min="4612" max="4612" width="45" style="113" hidden="1"/>
    <col min="4613" max="4613" width="2.7265625" style="113" hidden="1"/>
    <col min="4614" max="4861" width="0" style="113" hidden="1"/>
    <col min="4862" max="4862" width="2.26953125" style="113" hidden="1"/>
    <col min="4863" max="4864" width="2.7265625" style="113" hidden="1"/>
    <col min="4865" max="4865" width="15.7265625" style="113" hidden="1"/>
    <col min="4866" max="4866" width="20.7265625" style="113" hidden="1"/>
    <col min="4867" max="4867" width="30.7265625" style="113" hidden="1"/>
    <col min="4868" max="4868" width="45" style="113" hidden="1"/>
    <col min="4869" max="4869" width="2.7265625" style="113" hidden="1"/>
    <col min="4870" max="5117" width="0" style="113" hidden="1"/>
    <col min="5118" max="5118" width="2.26953125" style="113" hidden="1"/>
    <col min="5119" max="5120" width="2.7265625" style="113" hidden="1"/>
    <col min="5121" max="5121" width="15.7265625" style="113" hidden="1"/>
    <col min="5122" max="5122" width="20.7265625" style="113" hidden="1"/>
    <col min="5123" max="5123" width="30.7265625" style="113" hidden="1"/>
    <col min="5124" max="5124" width="45" style="113" hidden="1"/>
    <col min="5125" max="5125" width="2.7265625" style="113" hidden="1"/>
    <col min="5126" max="5373" width="0" style="113" hidden="1"/>
    <col min="5374" max="5374" width="2.26953125" style="113" hidden="1"/>
    <col min="5375" max="5376" width="2.7265625" style="113" hidden="1"/>
    <col min="5377" max="5377" width="15.7265625" style="113" hidden="1"/>
    <col min="5378" max="5378" width="20.7265625" style="113" hidden="1"/>
    <col min="5379" max="5379" width="30.7265625" style="113" hidden="1"/>
    <col min="5380" max="5380" width="45" style="113" hidden="1"/>
    <col min="5381" max="5381" width="2.7265625" style="113" hidden="1"/>
    <col min="5382" max="5629" width="0" style="113" hidden="1"/>
    <col min="5630" max="5630" width="2.26953125" style="113" hidden="1"/>
    <col min="5631" max="5632" width="2.7265625" style="113" hidden="1"/>
    <col min="5633" max="5633" width="15.7265625" style="113" hidden="1"/>
    <col min="5634" max="5634" width="20.7265625" style="113" hidden="1"/>
    <col min="5635" max="5635" width="30.7265625" style="113" hidden="1"/>
    <col min="5636" max="5636" width="45" style="113" hidden="1"/>
    <col min="5637" max="5637" width="2.7265625" style="113" hidden="1"/>
    <col min="5638" max="5885" width="0" style="113" hidden="1"/>
    <col min="5886" max="5886" width="2.26953125" style="113" hidden="1"/>
    <col min="5887" max="5888" width="2.7265625" style="113" hidden="1"/>
    <col min="5889" max="5889" width="15.7265625" style="113" hidden="1"/>
    <col min="5890" max="5890" width="20.7265625" style="113" hidden="1"/>
    <col min="5891" max="5891" width="30.7265625" style="113" hidden="1"/>
    <col min="5892" max="5892" width="45" style="113" hidden="1"/>
    <col min="5893" max="5893" width="2.7265625" style="113" hidden="1"/>
    <col min="5894" max="6141" width="0" style="113" hidden="1"/>
    <col min="6142" max="6142" width="2.26953125" style="113" hidden="1"/>
    <col min="6143" max="6144" width="2.7265625" style="113" hidden="1"/>
    <col min="6145" max="6145" width="15.7265625" style="113" hidden="1"/>
    <col min="6146" max="6146" width="20.7265625" style="113" hidden="1"/>
    <col min="6147" max="6147" width="30.7265625" style="113" hidden="1"/>
    <col min="6148" max="6148" width="45" style="113" hidden="1"/>
    <col min="6149" max="6149" width="2.7265625" style="113" hidden="1"/>
    <col min="6150" max="6397" width="0" style="113" hidden="1"/>
    <col min="6398" max="6398" width="2.26953125" style="113" hidden="1"/>
    <col min="6399" max="6400" width="2.7265625" style="113" hidden="1"/>
    <col min="6401" max="6401" width="15.7265625" style="113" hidden="1"/>
    <col min="6402" max="6402" width="20.7265625" style="113" hidden="1"/>
    <col min="6403" max="6403" width="30.7265625" style="113" hidden="1"/>
    <col min="6404" max="6404" width="45" style="113" hidden="1"/>
    <col min="6405" max="6405" width="2.7265625" style="113" hidden="1"/>
    <col min="6406" max="6653" width="0" style="113" hidden="1"/>
    <col min="6654" max="6654" width="2.26953125" style="113" hidden="1"/>
    <col min="6655" max="6656" width="2.7265625" style="113" hidden="1"/>
    <col min="6657" max="6657" width="15.7265625" style="113" hidden="1"/>
    <col min="6658" max="6658" width="20.7265625" style="113" hidden="1"/>
    <col min="6659" max="6659" width="30.7265625" style="113" hidden="1"/>
    <col min="6660" max="6660" width="45" style="113" hidden="1"/>
    <col min="6661" max="6661" width="2.7265625" style="113" hidden="1"/>
    <col min="6662" max="6909" width="0" style="113" hidden="1"/>
    <col min="6910" max="6910" width="2.26953125" style="113" hidden="1"/>
    <col min="6911" max="6912" width="2.7265625" style="113" hidden="1"/>
    <col min="6913" max="6913" width="15.7265625" style="113" hidden="1"/>
    <col min="6914" max="6914" width="20.7265625" style="113" hidden="1"/>
    <col min="6915" max="6915" width="30.7265625" style="113" hidden="1"/>
    <col min="6916" max="6916" width="45" style="113" hidden="1"/>
    <col min="6917" max="6917" width="2.7265625" style="113" hidden="1"/>
    <col min="6918" max="7165" width="0" style="113" hidden="1"/>
    <col min="7166" max="7166" width="2.26953125" style="113" hidden="1"/>
    <col min="7167" max="7168" width="2.7265625" style="113" hidden="1"/>
    <col min="7169" max="7169" width="15.7265625" style="113" hidden="1"/>
    <col min="7170" max="7170" width="20.7265625" style="113" hidden="1"/>
    <col min="7171" max="7171" width="30.7265625" style="113" hidden="1"/>
    <col min="7172" max="7172" width="45" style="113" hidden="1"/>
    <col min="7173" max="7173" width="2.7265625" style="113" hidden="1"/>
    <col min="7174" max="7421" width="0" style="113" hidden="1"/>
    <col min="7422" max="7422" width="2.26953125" style="113" hidden="1"/>
    <col min="7423" max="7424" width="2.7265625" style="113" hidden="1"/>
    <col min="7425" max="7425" width="15.7265625" style="113" hidden="1"/>
    <col min="7426" max="7426" width="20.7265625" style="113" hidden="1"/>
    <col min="7427" max="7427" width="30.7265625" style="113" hidden="1"/>
    <col min="7428" max="7428" width="45" style="113" hidden="1"/>
    <col min="7429" max="7429" width="2.7265625" style="113" hidden="1"/>
    <col min="7430" max="7677" width="0" style="113" hidden="1"/>
    <col min="7678" max="7678" width="2.26953125" style="113" hidden="1"/>
    <col min="7679" max="7680" width="2.7265625" style="113" hidden="1"/>
    <col min="7681" max="7681" width="15.7265625" style="113" hidden="1"/>
    <col min="7682" max="7682" width="20.7265625" style="113" hidden="1"/>
    <col min="7683" max="7683" width="30.7265625" style="113" hidden="1"/>
    <col min="7684" max="7684" width="45" style="113" hidden="1"/>
    <col min="7685" max="7685" width="2.7265625" style="113" hidden="1"/>
    <col min="7686" max="7933" width="0" style="113" hidden="1"/>
    <col min="7934" max="7934" width="2.26953125" style="113" hidden="1"/>
    <col min="7935" max="7936" width="2.7265625" style="113" hidden="1"/>
    <col min="7937" max="7937" width="15.7265625" style="113" hidden="1"/>
    <col min="7938" max="7938" width="20.7265625" style="113" hidden="1"/>
    <col min="7939" max="7939" width="30.7265625" style="113" hidden="1"/>
    <col min="7940" max="7940" width="45" style="113" hidden="1"/>
    <col min="7941" max="7941" width="2.7265625" style="113" hidden="1"/>
    <col min="7942" max="8189" width="0" style="113" hidden="1"/>
    <col min="8190" max="8190" width="2.26953125" style="113" hidden="1"/>
    <col min="8191" max="8192" width="2.7265625" style="113" hidden="1"/>
    <col min="8193" max="8193" width="15.7265625" style="113" hidden="1"/>
    <col min="8194" max="8194" width="20.7265625" style="113" hidden="1"/>
    <col min="8195" max="8195" width="30.7265625" style="113" hidden="1"/>
    <col min="8196" max="8196" width="45" style="113" hidden="1"/>
    <col min="8197" max="8197" width="2.7265625" style="113" hidden="1"/>
    <col min="8198" max="8445" width="0" style="113" hidden="1"/>
    <col min="8446" max="8446" width="2.26953125" style="113" hidden="1"/>
    <col min="8447" max="8448" width="2.7265625" style="113" hidden="1"/>
    <col min="8449" max="8449" width="15.7265625" style="113" hidden="1"/>
    <col min="8450" max="8450" width="20.7265625" style="113" hidden="1"/>
    <col min="8451" max="8451" width="30.7265625" style="113" hidden="1"/>
    <col min="8452" max="8452" width="45" style="113" hidden="1"/>
    <col min="8453" max="8453" width="2.7265625" style="113" hidden="1"/>
    <col min="8454" max="8701" width="0" style="113" hidden="1"/>
    <col min="8702" max="8702" width="2.26953125" style="113" hidden="1"/>
    <col min="8703" max="8704" width="2.7265625" style="113" hidden="1"/>
    <col min="8705" max="8705" width="15.7265625" style="113" hidden="1"/>
    <col min="8706" max="8706" width="20.7265625" style="113" hidden="1"/>
    <col min="8707" max="8707" width="30.7265625" style="113" hidden="1"/>
    <col min="8708" max="8708" width="45" style="113" hidden="1"/>
    <col min="8709" max="8709" width="2.7265625" style="113" hidden="1"/>
    <col min="8710" max="8957" width="0" style="113" hidden="1"/>
    <col min="8958" max="8958" width="2.26953125" style="113" hidden="1"/>
    <col min="8959" max="8960" width="2.7265625" style="113" hidden="1"/>
    <col min="8961" max="8961" width="15.7265625" style="113" hidden="1"/>
    <col min="8962" max="8962" width="20.7265625" style="113" hidden="1"/>
    <col min="8963" max="8963" width="30.7265625" style="113" hidden="1"/>
    <col min="8964" max="8964" width="45" style="113" hidden="1"/>
    <col min="8965" max="8965" width="2.7265625" style="113" hidden="1"/>
    <col min="8966" max="9213" width="0" style="113" hidden="1"/>
    <col min="9214" max="9214" width="2.26953125" style="113" hidden="1"/>
    <col min="9215" max="9216" width="2.7265625" style="113" hidden="1"/>
    <col min="9217" max="9217" width="15.7265625" style="113" hidden="1"/>
    <col min="9218" max="9218" width="20.7265625" style="113" hidden="1"/>
    <col min="9219" max="9219" width="30.7265625" style="113" hidden="1"/>
    <col min="9220" max="9220" width="45" style="113" hidden="1"/>
    <col min="9221" max="9221" width="2.7265625" style="113" hidden="1"/>
    <col min="9222" max="9469" width="0" style="113" hidden="1"/>
    <col min="9470" max="9470" width="2.26953125" style="113" hidden="1"/>
    <col min="9471" max="9472" width="2.7265625" style="113" hidden="1"/>
    <col min="9473" max="9473" width="15.7265625" style="113" hidden="1"/>
    <col min="9474" max="9474" width="20.7265625" style="113" hidden="1"/>
    <col min="9475" max="9475" width="30.7265625" style="113" hidden="1"/>
    <col min="9476" max="9476" width="45" style="113" hidden="1"/>
    <col min="9477" max="9477" width="2.7265625" style="113" hidden="1"/>
    <col min="9478" max="9725" width="0" style="113" hidden="1"/>
    <col min="9726" max="9726" width="2.26953125" style="113" hidden="1"/>
    <col min="9727" max="9728" width="2.7265625" style="113" hidden="1"/>
    <col min="9729" max="9729" width="15.7265625" style="113" hidden="1"/>
    <col min="9730" max="9730" width="20.7265625" style="113" hidden="1"/>
    <col min="9731" max="9731" width="30.7265625" style="113" hidden="1"/>
    <col min="9732" max="9732" width="45" style="113" hidden="1"/>
    <col min="9733" max="9733" width="2.7265625" style="113" hidden="1"/>
    <col min="9734" max="9981" width="0" style="113" hidden="1"/>
    <col min="9982" max="9982" width="2.26953125" style="113" hidden="1"/>
    <col min="9983" max="9984" width="2.7265625" style="113" hidden="1"/>
    <col min="9985" max="9985" width="15.7265625" style="113" hidden="1"/>
    <col min="9986" max="9986" width="20.7265625" style="113" hidden="1"/>
    <col min="9987" max="9987" width="30.7265625" style="113" hidden="1"/>
    <col min="9988" max="9988" width="45" style="113" hidden="1"/>
    <col min="9989" max="9989" width="2.7265625" style="113" hidden="1"/>
    <col min="9990" max="10237" width="0" style="113" hidden="1"/>
    <col min="10238" max="10238" width="2.26953125" style="113" hidden="1"/>
    <col min="10239" max="10240" width="2.7265625" style="113" hidden="1"/>
    <col min="10241" max="10241" width="15.7265625" style="113" hidden="1"/>
    <col min="10242" max="10242" width="20.7265625" style="113" hidden="1"/>
    <col min="10243" max="10243" width="30.7265625" style="113" hidden="1"/>
    <col min="10244" max="10244" width="45" style="113" hidden="1"/>
    <col min="10245" max="10245" width="2.7265625" style="113" hidden="1"/>
    <col min="10246" max="10493" width="0" style="113" hidden="1"/>
    <col min="10494" max="10494" width="2.26953125" style="113" hidden="1"/>
    <col min="10495" max="10496" width="2.7265625" style="113" hidden="1"/>
    <col min="10497" max="10497" width="15.7265625" style="113" hidden="1"/>
    <col min="10498" max="10498" width="20.7265625" style="113" hidden="1"/>
    <col min="10499" max="10499" width="30.7265625" style="113" hidden="1"/>
    <col min="10500" max="10500" width="45" style="113" hidden="1"/>
    <col min="10501" max="10501" width="2.7265625" style="113" hidden="1"/>
    <col min="10502" max="10749" width="0" style="113" hidden="1"/>
    <col min="10750" max="10750" width="2.26953125" style="113" hidden="1"/>
    <col min="10751" max="10752" width="2.7265625" style="113" hidden="1"/>
    <col min="10753" max="10753" width="15.7265625" style="113" hidden="1"/>
    <col min="10754" max="10754" width="20.7265625" style="113" hidden="1"/>
    <col min="10755" max="10755" width="30.7265625" style="113" hidden="1"/>
    <col min="10756" max="10756" width="45" style="113" hidden="1"/>
    <col min="10757" max="10757" width="2.7265625" style="113" hidden="1"/>
    <col min="10758" max="11005" width="0" style="113" hidden="1"/>
    <col min="11006" max="11006" width="2.26953125" style="113" hidden="1"/>
    <col min="11007" max="11008" width="2.7265625" style="113" hidden="1"/>
    <col min="11009" max="11009" width="15.7265625" style="113" hidden="1"/>
    <col min="11010" max="11010" width="20.7265625" style="113" hidden="1"/>
    <col min="11011" max="11011" width="30.7265625" style="113" hidden="1"/>
    <col min="11012" max="11012" width="45" style="113" hidden="1"/>
    <col min="11013" max="11013" width="2.7265625" style="113" hidden="1"/>
    <col min="11014" max="11261" width="0" style="113" hidden="1"/>
    <col min="11262" max="11262" width="2.26953125" style="113" hidden="1"/>
    <col min="11263" max="11264" width="2.7265625" style="113" hidden="1"/>
    <col min="11265" max="11265" width="15.7265625" style="113" hidden="1"/>
    <col min="11266" max="11266" width="20.7265625" style="113" hidden="1"/>
    <col min="11267" max="11267" width="30.7265625" style="113" hidden="1"/>
    <col min="11268" max="11268" width="45" style="113" hidden="1"/>
    <col min="11269" max="11269" width="2.7265625" style="113" hidden="1"/>
    <col min="11270" max="11517" width="0" style="113" hidden="1"/>
    <col min="11518" max="11518" width="2.26953125" style="113" hidden="1"/>
    <col min="11519" max="11520" width="2.7265625" style="113" hidden="1"/>
    <col min="11521" max="11521" width="15.7265625" style="113" hidden="1"/>
    <col min="11522" max="11522" width="20.7265625" style="113" hidden="1"/>
    <col min="11523" max="11523" width="30.7265625" style="113" hidden="1"/>
    <col min="11524" max="11524" width="45" style="113" hidden="1"/>
    <col min="11525" max="11525" width="2.7265625" style="113" hidden="1"/>
    <col min="11526" max="11773" width="0" style="113" hidden="1"/>
    <col min="11774" max="11774" width="2.26953125" style="113" hidden="1"/>
    <col min="11775" max="11776" width="2.7265625" style="113" hidden="1"/>
    <col min="11777" max="11777" width="15.7265625" style="113" hidden="1"/>
    <col min="11778" max="11778" width="20.7265625" style="113" hidden="1"/>
    <col min="11779" max="11779" width="30.7265625" style="113" hidden="1"/>
    <col min="11780" max="11780" width="45" style="113" hidden="1"/>
    <col min="11781" max="11781" width="2.7265625" style="113" hidden="1"/>
    <col min="11782" max="12029" width="0" style="113" hidden="1"/>
    <col min="12030" max="12030" width="2.26953125" style="113" hidden="1"/>
    <col min="12031" max="12032" width="2.7265625" style="113" hidden="1"/>
    <col min="12033" max="12033" width="15.7265625" style="113" hidden="1"/>
    <col min="12034" max="12034" width="20.7265625" style="113" hidden="1"/>
    <col min="12035" max="12035" width="30.7265625" style="113" hidden="1"/>
    <col min="12036" max="12036" width="45" style="113" hidden="1"/>
    <col min="12037" max="12037" width="2.7265625" style="113" hidden="1"/>
    <col min="12038" max="12285" width="0" style="113" hidden="1"/>
    <col min="12286" max="12286" width="2.26953125" style="113" hidden="1"/>
    <col min="12287" max="12288" width="2.7265625" style="113" hidden="1"/>
    <col min="12289" max="12289" width="15.7265625" style="113" hidden="1"/>
    <col min="12290" max="12290" width="20.7265625" style="113" hidden="1"/>
    <col min="12291" max="12291" width="30.7265625" style="113" hidden="1"/>
    <col min="12292" max="12292" width="45" style="113" hidden="1"/>
    <col min="12293" max="12293" width="2.7265625" style="113" hidden="1"/>
    <col min="12294" max="12541" width="0" style="113" hidden="1"/>
    <col min="12542" max="12542" width="2.26953125" style="113" hidden="1"/>
    <col min="12543" max="12544" width="2.7265625" style="113" hidden="1"/>
    <col min="12545" max="12545" width="15.7265625" style="113" hidden="1"/>
    <col min="12546" max="12546" width="20.7265625" style="113" hidden="1"/>
    <col min="12547" max="12547" width="30.7265625" style="113" hidden="1"/>
    <col min="12548" max="12548" width="45" style="113" hidden="1"/>
    <col min="12549" max="12549" width="2.7265625" style="113" hidden="1"/>
    <col min="12550" max="12797" width="0" style="113" hidden="1"/>
    <col min="12798" max="12798" width="2.26953125" style="113" hidden="1"/>
    <col min="12799" max="12800" width="2.7265625" style="113" hidden="1"/>
    <col min="12801" max="12801" width="15.7265625" style="113" hidden="1"/>
    <col min="12802" max="12802" width="20.7265625" style="113" hidden="1"/>
    <col min="12803" max="12803" width="30.7265625" style="113" hidden="1"/>
    <col min="12804" max="12804" width="45" style="113" hidden="1"/>
    <col min="12805" max="12805" width="2.7265625" style="113" hidden="1"/>
    <col min="12806" max="13053" width="0" style="113" hidden="1"/>
    <col min="13054" max="13054" width="2.26953125" style="113" hidden="1"/>
    <col min="13055" max="13056" width="2.7265625" style="113" hidden="1"/>
    <col min="13057" max="13057" width="15.7265625" style="113" hidden="1"/>
    <col min="13058" max="13058" width="20.7265625" style="113" hidden="1"/>
    <col min="13059" max="13059" width="30.7265625" style="113" hidden="1"/>
    <col min="13060" max="13060" width="45" style="113" hidden="1"/>
    <col min="13061" max="13061" width="2.7265625" style="113" hidden="1"/>
    <col min="13062" max="13309" width="0" style="113" hidden="1"/>
    <col min="13310" max="13310" width="2.26953125" style="113" hidden="1"/>
    <col min="13311" max="13312" width="2.7265625" style="113" hidden="1"/>
    <col min="13313" max="13313" width="15.7265625" style="113" hidden="1"/>
    <col min="13314" max="13314" width="20.7265625" style="113" hidden="1"/>
    <col min="13315" max="13315" width="30.7265625" style="113" hidden="1"/>
    <col min="13316" max="13316" width="45" style="113" hidden="1"/>
    <col min="13317" max="13317" width="2.7265625" style="113" hidden="1"/>
    <col min="13318" max="13565" width="0" style="113" hidden="1"/>
    <col min="13566" max="13566" width="2.26953125" style="113" hidden="1"/>
    <col min="13567" max="13568" width="2.7265625" style="113" hidden="1"/>
    <col min="13569" max="13569" width="15.7265625" style="113" hidden="1"/>
    <col min="13570" max="13570" width="20.7265625" style="113" hidden="1"/>
    <col min="13571" max="13571" width="30.7265625" style="113" hidden="1"/>
    <col min="13572" max="13572" width="45" style="113" hidden="1"/>
    <col min="13573" max="13573" width="2.7265625" style="113" hidden="1"/>
    <col min="13574" max="13821" width="0" style="113" hidden="1"/>
    <col min="13822" max="13822" width="2.26953125" style="113" hidden="1"/>
    <col min="13823" max="13824" width="2.7265625" style="113" hidden="1"/>
    <col min="13825" max="13825" width="15.7265625" style="113" hidden="1"/>
    <col min="13826" max="13826" width="20.7265625" style="113" hidden="1"/>
    <col min="13827" max="13827" width="30.7265625" style="113" hidden="1"/>
    <col min="13828" max="13828" width="45" style="113" hidden="1"/>
    <col min="13829" max="13829" width="2.7265625" style="113" hidden="1"/>
    <col min="13830" max="14077" width="0" style="113" hidden="1"/>
    <col min="14078" max="14078" width="2.26953125" style="113" hidden="1"/>
    <col min="14079" max="14080" width="2.7265625" style="113" hidden="1"/>
    <col min="14081" max="14081" width="15.7265625" style="113" hidden="1"/>
    <col min="14082" max="14082" width="20.7265625" style="113" hidden="1"/>
    <col min="14083" max="14083" width="30.7265625" style="113" hidden="1"/>
    <col min="14084" max="14084" width="45" style="113" hidden="1"/>
    <col min="14085" max="14085" width="2.7265625" style="113" hidden="1"/>
    <col min="14086" max="14333" width="0" style="113" hidden="1"/>
    <col min="14334" max="14334" width="2.26953125" style="113" hidden="1"/>
    <col min="14335" max="14336" width="2.7265625" style="113" hidden="1"/>
    <col min="14337" max="14337" width="15.7265625" style="113" hidden="1"/>
    <col min="14338" max="14338" width="20.7265625" style="113" hidden="1"/>
    <col min="14339" max="14339" width="30.7265625" style="113" hidden="1"/>
    <col min="14340" max="14340" width="45" style="113" hidden="1"/>
    <col min="14341" max="14341" width="2.7265625" style="113" hidden="1"/>
    <col min="14342" max="14589" width="0" style="113" hidden="1"/>
    <col min="14590" max="14590" width="2.26953125" style="113" hidden="1"/>
    <col min="14591" max="14592" width="2.7265625" style="113" hidden="1"/>
    <col min="14593" max="14593" width="15.7265625" style="113" hidden="1"/>
    <col min="14594" max="14594" width="20.7265625" style="113" hidden="1"/>
    <col min="14595" max="14595" width="30.7265625" style="113" hidden="1"/>
    <col min="14596" max="14596" width="45" style="113" hidden="1"/>
    <col min="14597" max="14597" width="2.7265625" style="113" hidden="1"/>
    <col min="14598" max="14845" width="0" style="113" hidden="1"/>
    <col min="14846" max="14846" width="2.26953125" style="113" hidden="1"/>
    <col min="14847" max="14848" width="2.7265625" style="113" hidden="1"/>
    <col min="14849" max="14849" width="15.7265625" style="113" hidden="1"/>
    <col min="14850" max="14850" width="20.7265625" style="113" hidden="1"/>
    <col min="14851" max="14851" width="30.7265625" style="113" hidden="1"/>
    <col min="14852" max="14852" width="45" style="113" hidden="1"/>
    <col min="14853" max="14853" width="2.7265625" style="113" hidden="1"/>
    <col min="14854" max="15101" width="0" style="113" hidden="1"/>
    <col min="15102" max="15102" width="2.26953125" style="113" hidden="1"/>
    <col min="15103" max="15104" width="2.7265625" style="113" hidden="1"/>
    <col min="15105" max="15105" width="15.7265625" style="113" hidden="1"/>
    <col min="15106" max="15106" width="20.7265625" style="113" hidden="1"/>
    <col min="15107" max="15107" width="30.7265625" style="113" hidden="1"/>
    <col min="15108" max="15108" width="45" style="113" hidden="1"/>
    <col min="15109" max="15109" width="2.7265625" style="113" hidden="1"/>
    <col min="15110" max="15357" width="0" style="113" hidden="1"/>
    <col min="15358" max="15358" width="2.26953125" style="113" hidden="1"/>
    <col min="15359" max="15360" width="2.7265625" style="113" hidden="1"/>
    <col min="15361" max="15361" width="15.7265625" style="113" hidden="1"/>
    <col min="15362" max="15362" width="20.7265625" style="113" hidden="1"/>
    <col min="15363" max="15363" width="30.7265625" style="113" hidden="1"/>
    <col min="15364" max="15364" width="45" style="113" hidden="1"/>
    <col min="15365" max="15365" width="2.7265625" style="113" hidden="1"/>
    <col min="15366" max="15613" width="0" style="113" hidden="1"/>
    <col min="15614" max="15614" width="2.26953125" style="113" hidden="1"/>
    <col min="15615" max="15616" width="2.7265625" style="113" hidden="1"/>
    <col min="15617" max="15617" width="15.7265625" style="113" hidden="1"/>
    <col min="15618" max="15618" width="20.7265625" style="113" hidden="1"/>
    <col min="15619" max="15619" width="30.7265625" style="113" hidden="1"/>
    <col min="15620" max="15620" width="45" style="113" hidden="1"/>
    <col min="15621" max="15621" width="2.7265625" style="113" hidden="1"/>
    <col min="15622" max="15869" width="0" style="113" hidden="1"/>
    <col min="15870" max="15870" width="2.26953125" style="113" hidden="1"/>
    <col min="15871" max="15872" width="2.7265625" style="113" hidden="1"/>
    <col min="15873" max="15873" width="15.7265625" style="113" hidden="1"/>
    <col min="15874" max="15874" width="20.7265625" style="113" hidden="1"/>
    <col min="15875" max="15875" width="30.7265625" style="113" hidden="1"/>
    <col min="15876" max="15876" width="45" style="113" hidden="1"/>
    <col min="15877" max="15877" width="2.7265625" style="113" hidden="1"/>
    <col min="15878" max="16125" width="0" style="113" hidden="1"/>
    <col min="16126" max="16126" width="2.26953125" style="113" hidden="1"/>
    <col min="16127" max="16128" width="2.7265625" style="113" hidden="1"/>
    <col min="16129" max="16129" width="15.7265625" style="113" hidden="1"/>
    <col min="16130" max="16130" width="20.7265625" style="113" hidden="1"/>
    <col min="16131" max="16131" width="30.7265625" style="113" hidden="1"/>
    <col min="16132" max="16132" width="45" style="113" hidden="1"/>
    <col min="16133" max="16133" width="2.7265625" style="113" hidden="1"/>
    <col min="16134" max="16384" width="0" style="113" hidden="1"/>
  </cols>
  <sheetData>
    <row r="1" spans="1:5" ht="17.25" customHeight="1" thickBot="1" x14ac:dyDescent="0.3">
      <c r="A1" s="110"/>
      <c r="B1" s="111"/>
      <c r="C1" s="111"/>
      <c r="D1" s="111"/>
      <c r="E1" s="112"/>
    </row>
    <row r="2" spans="1:5" ht="54.75" customHeight="1" x14ac:dyDescent="0.25">
      <c r="A2" s="114"/>
      <c r="B2" s="115"/>
      <c r="C2" s="116"/>
      <c r="E2" s="117"/>
    </row>
    <row r="3" spans="1:5" ht="18.75" customHeight="1" x14ac:dyDescent="0.25">
      <c r="A3" s="752"/>
      <c r="B3" s="483"/>
      <c r="C3" s="483"/>
      <c r="D3" s="483"/>
      <c r="E3" s="753"/>
    </row>
    <row r="4" spans="1:5" ht="6.75" customHeight="1" x14ac:dyDescent="0.25">
      <c r="A4" s="114"/>
      <c r="E4" s="118"/>
    </row>
    <row r="5" spans="1:5" ht="13" x14ac:dyDescent="0.3">
      <c r="A5" s="119" t="s">
        <v>428</v>
      </c>
      <c r="B5" s="120" t="e">
        <f>'JO Consultant'!E8</f>
        <v>#N/A</v>
      </c>
      <c r="C5" s="121"/>
      <c r="E5" s="118"/>
    </row>
    <row r="6" spans="1:5" ht="12.75" customHeight="1" x14ac:dyDescent="0.3">
      <c r="A6" s="119" t="s">
        <v>429</v>
      </c>
      <c r="B6" s="122" t="e">
        <f>'JO Consultant'!E10</f>
        <v>#N/A</v>
      </c>
      <c r="C6" s="123"/>
      <c r="E6" s="118"/>
    </row>
    <row r="7" spans="1:5" ht="12.75" customHeight="1" x14ac:dyDescent="0.3">
      <c r="A7" s="119" t="s">
        <v>430</v>
      </c>
      <c r="B7" s="122" t="str">
        <f>'JO Consultant'!R8</f>
        <v>NR</v>
      </c>
      <c r="C7" s="123"/>
      <c r="E7" s="118"/>
    </row>
    <row r="8" spans="1:5" ht="12.75" customHeight="1" x14ac:dyDescent="0.3">
      <c r="A8" s="119" t="s">
        <v>431</v>
      </c>
      <c r="B8" s="122" t="str">
        <f>'JO Consultant'!E12</f>
        <v>ESFG</v>
      </c>
      <c r="C8" s="124"/>
      <c r="E8" s="118"/>
    </row>
    <row r="9" spans="1:5" ht="13" x14ac:dyDescent="0.3">
      <c r="A9" s="114" t="s">
        <v>466</v>
      </c>
      <c r="B9" s="124" t="str">
        <f>'JO Consultant'!I4</f>
        <v>Unilab, Inc.</v>
      </c>
      <c r="C9" s="125"/>
      <c r="E9" s="118"/>
    </row>
    <row r="10" spans="1:5" ht="13.5" thickBot="1" x14ac:dyDescent="0.3">
      <c r="A10" s="126" t="s">
        <v>433</v>
      </c>
      <c r="B10" s="127"/>
      <c r="C10" s="127"/>
      <c r="D10" s="127"/>
      <c r="E10" s="128"/>
    </row>
    <row r="11" spans="1:5" x14ac:dyDescent="0.25">
      <c r="A11" s="129"/>
      <c r="B11" s="130"/>
      <c r="C11" s="130"/>
      <c r="D11" s="130"/>
      <c r="E11" s="118"/>
    </row>
    <row r="12" spans="1:5" ht="13" x14ac:dyDescent="0.25">
      <c r="A12" s="129"/>
      <c r="B12" s="131" t="s">
        <v>434</v>
      </c>
      <c r="C12" s="131" t="s">
        <v>435</v>
      </c>
      <c r="D12" s="131" t="s">
        <v>436</v>
      </c>
      <c r="E12" s="118"/>
    </row>
    <row r="13" spans="1:5" ht="14.5" x14ac:dyDescent="0.25">
      <c r="A13" s="132" t="s">
        <v>472</v>
      </c>
      <c r="B13" s="133">
        <f>'JO Consultant'!P35</f>
        <v>60000</v>
      </c>
      <c r="C13" s="134" t="s">
        <v>467</v>
      </c>
      <c r="D13" s="130"/>
      <c r="E13" s="118"/>
    </row>
    <row r="14" spans="1:5" ht="13" x14ac:dyDescent="0.25">
      <c r="A14" s="132"/>
      <c r="B14" s="133"/>
      <c r="C14" s="134"/>
      <c r="D14" s="130"/>
      <c r="E14" s="118"/>
    </row>
    <row r="15" spans="1:5" x14ac:dyDescent="0.25">
      <c r="A15" s="114"/>
      <c r="B15" s="125"/>
      <c r="C15" s="139"/>
      <c r="D15" s="125"/>
      <c r="E15" s="118"/>
    </row>
    <row r="16" spans="1:5" ht="24.75" customHeight="1" x14ac:dyDescent="0.25">
      <c r="A16" s="754" t="s">
        <v>452</v>
      </c>
      <c r="B16" s="488"/>
      <c r="C16" s="488"/>
      <c r="D16" s="755"/>
      <c r="E16" s="118"/>
    </row>
    <row r="17" spans="1:5" ht="24.75" customHeight="1" x14ac:dyDescent="0.25">
      <c r="A17" s="756"/>
      <c r="B17" s="491"/>
      <c r="C17" s="491"/>
      <c r="D17" s="757"/>
      <c r="E17" s="140"/>
    </row>
    <row r="18" spans="1:5" ht="6.75" customHeight="1" x14ac:dyDescent="0.25">
      <c r="A18" s="114"/>
      <c r="E18" s="118"/>
    </row>
    <row r="19" spans="1:5" ht="21.75" customHeight="1" x14ac:dyDescent="0.25">
      <c r="A19" s="758" t="s">
        <v>453</v>
      </c>
      <c r="B19" s="477"/>
      <c r="C19" s="477"/>
      <c r="D19" s="477"/>
      <c r="E19" s="141"/>
    </row>
    <row r="20" spans="1:5" ht="6.75" customHeight="1" x14ac:dyDescent="0.25">
      <c r="A20" s="142"/>
      <c r="B20" s="143"/>
      <c r="C20" s="143"/>
      <c r="E20" s="144"/>
    </row>
    <row r="21" spans="1:5" ht="14" x14ac:dyDescent="0.25">
      <c r="A21" s="145"/>
      <c r="B21" s="146"/>
      <c r="C21" s="146"/>
      <c r="D21" s="146"/>
      <c r="E21" s="147"/>
    </row>
    <row r="22" spans="1:5" ht="45.75" customHeight="1" thickBot="1" x14ac:dyDescent="0.3">
      <c r="A22" s="759" t="s">
        <v>454</v>
      </c>
      <c r="B22" s="480"/>
      <c r="C22" s="480"/>
      <c r="D22" s="480"/>
      <c r="E22" s="148"/>
    </row>
    <row r="23" spans="1:5" ht="13.5" thickBot="1" x14ac:dyDescent="0.3">
      <c r="A23" s="126"/>
      <c r="B23" s="127"/>
      <c r="C23" s="127"/>
      <c r="D23" s="127"/>
      <c r="E23" s="128"/>
    </row>
    <row r="25" spans="1:5" x14ac:dyDescent="0.25">
      <c r="D25" s="113" t="s">
        <v>455</v>
      </c>
    </row>
    <row r="27" spans="1:5" x14ac:dyDescent="0.25">
      <c r="D27" s="143"/>
    </row>
    <row r="28" spans="1:5" x14ac:dyDescent="0.25">
      <c r="D28" s="113" t="s">
        <v>456</v>
      </c>
    </row>
  </sheetData>
  <mergeCells count="4">
    <mergeCell ref="A3:E3"/>
    <mergeCell ref="A16:D17"/>
    <mergeCell ref="A19:D19"/>
    <mergeCell ref="A22:D22"/>
  </mergeCells>
  <pageMargins left="0.7" right="0.7" top="0.75" bottom="0.75" header="0.3" footer="0.3"/>
  <pageSetup scale="65"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BA3FD26-ACC9-4BE9-AFA8-AEA076F9B24A}">
          <x14:formula1>
            <xm:f>'Drop Down List'!$B$46:$B$49</xm:f>
          </x14:formula1>
          <xm:sqref>D27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Drop Down List</vt:lpstr>
      <vt:lpstr>Responses</vt:lpstr>
      <vt:lpstr>Benefits</vt:lpstr>
      <vt:lpstr>JO Regular</vt:lpstr>
      <vt:lpstr>Options Regular</vt:lpstr>
      <vt:lpstr>CC Regular</vt:lpstr>
      <vt:lpstr>JO Project</vt:lpstr>
      <vt:lpstr>Options Project</vt:lpstr>
      <vt:lpstr>CC Project</vt:lpstr>
      <vt:lpstr>JO Consultant</vt:lpstr>
      <vt:lpstr>CC Consultant</vt:lpstr>
      <vt:lpstr>MRI</vt:lpstr>
      <vt:lpstr>'CC Consultant'!Print_Area</vt:lpstr>
      <vt:lpstr>'CC Project'!Print_Area</vt:lpstr>
      <vt:lpstr>'CC Regular'!Print_Area</vt:lpstr>
      <vt:lpstr>'JO Consultant'!Print_Area</vt:lpstr>
      <vt:lpstr>'JO Project'!Print_Area</vt:lpstr>
      <vt:lpstr>'JO Regular'!Print_Area</vt:lpstr>
      <vt:lpstr>'Options Project'!Print_Area</vt:lpstr>
      <vt:lpstr>'Options Regular'!Print_Area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Ramil Laude</cp:lastModifiedBy>
  <cp:revision/>
  <dcterms:created xsi:type="dcterms:W3CDTF">2025-02-01T07:09:38Z</dcterms:created>
  <dcterms:modified xsi:type="dcterms:W3CDTF">2026-08-14T03:53:07Z</dcterms:modified>
  <cp:category/>
  <cp:contentStatus/>
</cp:coreProperties>
</file>